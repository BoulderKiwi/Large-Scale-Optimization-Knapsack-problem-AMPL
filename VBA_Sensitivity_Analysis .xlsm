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907" codeName="{1563B04E-AB91-75FE-B8BC-B18F01832D57}"/>
  <workbookPr codeName="ThisWorkbook"/>
  <mc:AlternateContent xmlns:mc="http://schemas.openxmlformats.org/markup-compatibility/2006">
    <mc:Choice Requires="x15">
      <x15ac:absPath xmlns:x15ac="http://schemas.microsoft.com/office/spreadsheetml/2010/11/ac" url="/Users/bcleary21/Library/Mobile Documents/com~apple~CloudDocs/Udacity_Career/Projects /"/>
    </mc:Choice>
  </mc:AlternateContent>
  <bookViews>
    <workbookView xWindow="0" yWindow="460" windowWidth="38400" windowHeight="21060" tabRatio="500"/>
  </bookViews>
  <sheets>
    <sheet name="Instructions" sheetId="3" r:id="rId1"/>
    <sheet name="Model" sheetId="1" r:id="rId2"/>
    <sheet name="Sensitivity Analysis " sheetId="2" r:id="rId3"/>
  </sheets>
  <definedNames>
    <definedName name="AlloyAMetal2">Model!$X$18</definedName>
    <definedName name="AlloyAMetal3">Model!$X$19</definedName>
    <definedName name="AlloyAMetal4">Model!$X$20</definedName>
    <definedName name="AlloyBMetal2a">Model!$X$21</definedName>
    <definedName name="AlloyBMetal2b">Model!$X$22</definedName>
    <definedName name="AlloyBMetal3">Model!$X$23</definedName>
    <definedName name="AlloyBMetal4">Model!$X$24</definedName>
    <definedName name="AlloysMade">Model!$X$25:$X$26</definedName>
    <definedName name="AlloyYA2">Model!$X$18</definedName>
    <definedName name="AvailAlloyAMetal2">Model!$Z$18</definedName>
    <definedName name="AvailAlloyAMetal3">Model!$Z$19</definedName>
    <definedName name="AvailAlloyAMetal4">Model!$Z$20</definedName>
    <definedName name="AvailAlloyBMetal2a">Model!$Z$21</definedName>
    <definedName name="AvailAlloyBMetal2b">Model!$Z$22</definedName>
    <definedName name="AvailAlloyBMetal3">Model!$Z$23</definedName>
    <definedName name="AvailAlloyBMetal4">Model!$Z$24</definedName>
    <definedName name="ChtData">OFFSET('Sensitivity Analysis '!$A$3, 0, 0, 'Sensitivity Analysis '!$I$1, 2)</definedName>
    <definedName name="ChtData2">OFFSET('Sensitivity Analysis '!$A$3, 0, 0, COUNTA('Sensitivity Analysis '!$B:$B)+1, COUNTA('Sensitivity Analysis '!$2:$2)+1)</definedName>
    <definedName name="ChtData3">OFFSET('Sensitivity Analysis '!$A$3,0,0,'Sensitivity Analysis '!$I$1,2)</definedName>
    <definedName name="ChtData5">OFFSET('Sensitivity Analysis '!$A$3, 0, 0, COUNTA('Sensitivity Analysis '!$A:$A), 2)</definedName>
    <definedName name="chtR">'Sensitivity Analysis '!$I$6</definedName>
    <definedName name="DecisionVars">Model!$D$8:$W$8</definedName>
    <definedName name="MetalAvail">Model!$Z$13:$Z$17</definedName>
    <definedName name="MetalOreUsed">Model!$X$13:$X$17</definedName>
    <definedName name="MetalsAvail">Model!$Z$25:$Z$26</definedName>
    <definedName name="OreAvail">Model!$Z$10:$Z$12</definedName>
    <definedName name="OreExtracted">Model!$X$10:$X$12</definedName>
    <definedName name="OreUsed">Model!$X$10:$X$12</definedName>
    <definedName name="OriginalPercents">Instructions!$C$30:$E$34</definedName>
    <definedName name="Percent100_Ore1">Model!#REF!</definedName>
    <definedName name="Percent100_Ore2">Model!#REF!</definedName>
    <definedName name="Percent100_Ore3">Model!#REF!</definedName>
    <definedName name="_xlnm.Print_Area" localSheetId="1">Model!$B$1:$Z$29</definedName>
    <definedName name="Profit">Model!$D$28</definedName>
    <definedName name="solver_adj" localSheetId="1" hidden="1">Model!$D$8:$W$8</definedName>
    <definedName name="solver_adj" localSheetId="2" hidden="1">'Sensitivity Analysis '!$D$8:$W$8</definedName>
    <definedName name="solver_cvg" localSheetId="1" hidden="1">0.0001</definedName>
    <definedName name="solver_drv" localSheetId="1" hidden="1">1</definedName>
    <definedName name="solver_eng" localSheetId="1" hidden="1">1</definedName>
    <definedName name="solver_eng" localSheetId="2" hidden="1">1</definedName>
    <definedName name="solver_est" localSheetId="1" hidden="1">1</definedName>
    <definedName name="solver_itr" localSheetId="1" hidden="1">2147483647</definedName>
    <definedName name="solver_lhs1" localSheetId="1" hidden="1">Model!$X$10:$X$12</definedName>
    <definedName name="solver_lhs1" localSheetId="2" hidden="1">'Sensitivity Analysis '!$X$10:$X$12</definedName>
    <definedName name="solver_lhs10" localSheetId="1" hidden="1">Model!$X$25:$X$26</definedName>
    <definedName name="solver_lhs10" localSheetId="2" hidden="1">'Sensitivity Analysis '!$X$25:$X$26</definedName>
    <definedName name="solver_lhs11" localSheetId="1" hidden="1">Model!#REF!</definedName>
    <definedName name="solver_lhs12" localSheetId="1" hidden="1">Model!#REF!</definedName>
    <definedName name="solver_lhs13" localSheetId="1" hidden="1">Model!#REF!</definedName>
    <definedName name="solver_lhs14" localSheetId="1" hidden="1">Model!#REF!</definedName>
    <definedName name="solver_lhs2" localSheetId="1" hidden="1">Model!$X$13:$X$17</definedName>
    <definedName name="solver_lhs2" localSheetId="2" hidden="1">'Sensitivity Analysis '!$X$13:$X$17</definedName>
    <definedName name="solver_lhs3" localSheetId="1" hidden="1">Model!$X$18</definedName>
    <definedName name="solver_lhs3" localSheetId="2" hidden="1">'Sensitivity Analysis '!$X$18</definedName>
    <definedName name="solver_lhs4" localSheetId="1" hidden="1">Model!$X$19</definedName>
    <definedName name="solver_lhs4" localSheetId="2" hidden="1">'Sensitivity Analysis '!$X$19</definedName>
    <definedName name="solver_lhs5" localSheetId="1" hidden="1">Model!$X$20</definedName>
    <definedName name="solver_lhs5" localSheetId="2" hidden="1">'Sensitivity Analysis '!$X$20</definedName>
    <definedName name="solver_lhs6" localSheetId="1" hidden="1">Model!$X$21</definedName>
    <definedName name="solver_lhs6" localSheetId="2" hidden="1">'Sensitivity Analysis '!$X$21</definedName>
    <definedName name="solver_lhs7" localSheetId="1" hidden="1">Model!$X$22</definedName>
    <definedName name="solver_lhs7" localSheetId="2" hidden="1">'Sensitivity Analysis '!$X$22</definedName>
    <definedName name="solver_lhs8" localSheetId="1" hidden="1">Model!$X$23</definedName>
    <definedName name="solver_lhs8" localSheetId="2" hidden="1">'Sensitivity Analysis '!$X$23</definedName>
    <definedName name="solver_lhs9" localSheetId="1" hidden="1">Model!$X$24</definedName>
    <definedName name="solver_lhs9" localSheetId="2" hidden="1">'Sensitivity Analysis '!$X$24</definedName>
    <definedName name="solver_lin" localSheetId="1" hidden="1">2</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eg" localSheetId="2" hidden="1">1</definedName>
    <definedName name="solver_nod" localSheetId="1" hidden="1">2147483647</definedName>
    <definedName name="solver_num" localSheetId="1" hidden="1">10</definedName>
    <definedName name="solver_num" localSheetId="2" hidden="1">10</definedName>
    <definedName name="solver_nwt" localSheetId="1" hidden="1">1</definedName>
    <definedName name="solver_opt" localSheetId="1" hidden="1">Model!$D$28</definedName>
    <definedName name="solver_opt" localSheetId="2" hidden="1">'Sensitivity Analysis '!$D$28</definedName>
    <definedName name="solver_pre" localSheetId="1" hidden="1">0.000001</definedName>
    <definedName name="solver_rbv" localSheetId="1" hidden="1">1</definedName>
    <definedName name="solver_rel1" localSheetId="1" hidden="1">1</definedName>
    <definedName name="solver_rel1" localSheetId="2" hidden="1">1</definedName>
    <definedName name="solver_rel10" localSheetId="1" hidden="1">2</definedName>
    <definedName name="solver_rel10" localSheetId="2" hidden="1">2</definedName>
    <definedName name="solver_rel11" localSheetId="1" hidden="1">2</definedName>
    <definedName name="solver_rel12" localSheetId="1" hidden="1">2</definedName>
    <definedName name="solver_rel13" localSheetId="1" hidden="1">3</definedName>
    <definedName name="solver_rel14" localSheetId="1" hidden="1">2</definedName>
    <definedName name="solver_rel2" localSheetId="1" hidden="1">2</definedName>
    <definedName name="solver_rel2" localSheetId="2" hidden="1">2</definedName>
    <definedName name="solver_rel3" localSheetId="1" hidden="1">1</definedName>
    <definedName name="solver_rel3" localSheetId="2" hidden="1">1</definedName>
    <definedName name="solver_rel4" localSheetId="1" hidden="1">1</definedName>
    <definedName name="solver_rel4" localSheetId="2" hidden="1">1</definedName>
    <definedName name="solver_rel5" localSheetId="1" hidden="1">3</definedName>
    <definedName name="solver_rel5" localSheetId="2" hidden="1">3</definedName>
    <definedName name="solver_rel6" localSheetId="1" hidden="1">3</definedName>
    <definedName name="solver_rel6" localSheetId="2" hidden="1">3</definedName>
    <definedName name="solver_rel7" localSheetId="1" hidden="1">1</definedName>
    <definedName name="solver_rel7" localSheetId="2" hidden="1">1</definedName>
    <definedName name="solver_rel8" localSheetId="1" hidden="1">3</definedName>
    <definedName name="solver_rel8" localSheetId="2" hidden="1">3</definedName>
    <definedName name="solver_rel9" localSheetId="1" hidden="1">1</definedName>
    <definedName name="solver_rel9" localSheetId="2" hidden="1">1</definedName>
    <definedName name="solver_rhs1" localSheetId="1" hidden="1">Model!$Z$10:$Z$12</definedName>
    <definedName name="solver_rhs1" localSheetId="2" hidden="1">'Sensitivity Analysis '!$Z$10:$Z$12</definedName>
    <definedName name="solver_rhs10" localSheetId="1" hidden="1">Model!$Z$25:$Z$26</definedName>
    <definedName name="solver_rhs10" localSheetId="2" hidden="1">'Sensitivity Analysis '!$Z$25:$Z$26</definedName>
    <definedName name="solver_rhs11" localSheetId="1" hidden="1">1</definedName>
    <definedName name="solver_rhs12" localSheetId="1" hidden="1">1</definedName>
    <definedName name="solver_rhs13" localSheetId="1" hidden="1">1</definedName>
    <definedName name="solver_rhs14" localSheetId="1" hidden="1">0</definedName>
    <definedName name="solver_rhs2" localSheetId="1" hidden="1">Model!$Z$13:$Z$17</definedName>
    <definedName name="solver_rhs2" localSheetId="2" hidden="1">'Sensitivity Analysis '!$Z$13:$Z$17</definedName>
    <definedName name="solver_rhs3" localSheetId="1" hidden="1">1200.00000216</definedName>
    <definedName name="solver_rhs3" localSheetId="2" hidden="1">784.14003529823</definedName>
    <definedName name="solver_rhs4" localSheetId="1" hidden="1">660.000001188001</definedName>
    <definedName name="solver_rhs4" localSheetId="2" hidden="1">294.052513236836</definedName>
    <definedName name="solver_rhs5" localSheetId="1" hidden="1">675.000001215001</definedName>
    <definedName name="solver_rhs5" localSheetId="2" hidden="1">490.087522061394</definedName>
    <definedName name="solver_rhs6" localSheetId="1" hidden="1">68.0129029542966</definedName>
    <definedName name="solver_rhs6" localSheetId="2" hidden="1">1887.9299981909</definedName>
    <definedName name="solver_rhs7" localSheetId="1" hidden="1">113.354838257161</definedName>
    <definedName name="solver_rhs7" localSheetId="2" hidden="1">2831.89499728635</definedName>
    <definedName name="solver_rhs8" localSheetId="1" hidden="1">521.432255982941</definedName>
    <definedName name="solver_rhs8" localSheetId="2" hidden="1">1415.94749864317</definedName>
    <definedName name="solver_rhs9" localSheetId="1" hidden="1">1586.96773560025</definedName>
    <definedName name="solver_rhs9" localSheetId="2" hidden="1">3303.87749683407</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typ" localSheetId="2" hidden="1">1</definedName>
    <definedName name="solver_val" localSheetId="1" hidden="1">0</definedName>
    <definedName name="solver_val" localSheetId="2" hidden="1">0</definedName>
    <definedName name="solver_ver" localSheetId="1" hidden="1">2</definedName>
    <definedName name="solver_ver" localSheetId="2" hidden="1">3</definedName>
    <definedName name="SumOre1">Model!#REF!</definedName>
    <definedName name="SumOre2">Model!#REF!</definedName>
    <definedName name="SumOre3">Model!#REF!</definedName>
    <definedName name="xValues20" xml:space="preserve"> OFFSET('Sensitivity Analysis '!$A$4, 0, 0, COUNTA('Sensitivity Analysis '!$A:$A)-1, 1)</definedName>
    <definedName name="yValues20">OFFSET('Sensitivity Analysis '!$B$4, 0, 0, COUNTA('Sensitivity Analysis '!$B:$B)-1, 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24" i="1" l="1"/>
  <c r="E23" i="1"/>
  <c r="E22" i="1"/>
  <c r="E21" i="1"/>
  <c r="S31" i="2"/>
  <c r="R31" i="2"/>
  <c r="R28" i="2"/>
  <c r="Q31" i="2"/>
  <c r="Q28" i="2"/>
  <c r="P31" i="2"/>
  <c r="P28" i="2"/>
  <c r="M31" i="2"/>
  <c r="M30" i="2"/>
  <c r="M29" i="2"/>
  <c r="M28" i="2"/>
  <c r="M27" i="2"/>
  <c r="L31" i="2"/>
  <c r="L30" i="2"/>
  <c r="L29" i="2"/>
  <c r="L28" i="2"/>
  <c r="L27" i="2"/>
  <c r="K31" i="2"/>
  <c r="K30" i="2"/>
  <c r="K29" i="2"/>
  <c r="K28" i="2"/>
  <c r="K27" i="2"/>
  <c r="C35" i="3"/>
  <c r="K32" i="2"/>
  <c r="D20" i="1"/>
  <c r="D19" i="1"/>
  <c r="Z19" i="1"/>
  <c r="D18" i="1"/>
  <c r="Z18" i="1"/>
  <c r="X18" i="1"/>
  <c r="X19" i="1"/>
  <c r="E35" i="3"/>
  <c r="M32" i="2"/>
  <c r="D35" i="3"/>
  <c r="L32" i="2"/>
  <c r="H17" i="1"/>
  <c r="H16" i="1"/>
  <c r="H15" i="1"/>
  <c r="H14" i="1"/>
  <c r="H13" i="1"/>
  <c r="G17" i="1"/>
  <c r="G16" i="1"/>
  <c r="G15" i="1"/>
  <c r="G14" i="1"/>
  <c r="G13" i="1"/>
  <c r="F17" i="1"/>
  <c r="F16" i="1"/>
  <c r="F15" i="1"/>
  <c r="F14" i="1"/>
  <c r="F13" i="1"/>
  <c r="X25" i="1"/>
  <c r="Z22" i="1"/>
  <c r="Z13" i="1"/>
  <c r="D28" i="1"/>
  <c r="X20" i="1"/>
  <c r="X21" i="1"/>
  <c r="X22" i="1"/>
  <c r="X23" i="1"/>
  <c r="X24" i="1"/>
  <c r="X26" i="1"/>
  <c r="Z25" i="1"/>
  <c r="Z24" i="1"/>
  <c r="X10" i="1"/>
  <c r="Z26" i="1"/>
  <c r="Z23" i="1"/>
  <c r="Z21" i="1"/>
  <c r="Z20" i="1"/>
  <c r="Z17" i="1"/>
  <c r="Z16" i="1"/>
  <c r="Z15" i="1"/>
  <c r="Z14" i="1"/>
  <c r="X12" i="1"/>
  <c r="X11" i="1"/>
  <c r="X16" i="1"/>
  <c r="X15" i="1"/>
  <c r="X17" i="1"/>
  <c r="X13" i="1"/>
  <c r="X14" i="1"/>
</calcChain>
</file>

<file path=xl/sharedStrings.xml><?xml version="1.0" encoding="utf-8"?>
<sst xmlns="http://schemas.openxmlformats.org/spreadsheetml/2006/main" count="161" uniqueCount="122">
  <si>
    <t>Price</t>
  </si>
  <si>
    <t>LHS</t>
  </si>
  <si>
    <t>RHS</t>
  </si>
  <si>
    <t>&lt;=</t>
  </si>
  <si>
    <t>Met1</t>
  </si>
  <si>
    <t>=</t>
  </si>
  <si>
    <t>Met2</t>
  </si>
  <si>
    <t>Met3</t>
  </si>
  <si>
    <t>Met4</t>
  </si>
  <si>
    <t>Others</t>
  </si>
  <si>
    <t>&gt;=</t>
  </si>
  <si>
    <t>Decision Variables</t>
  </si>
  <si>
    <t>Cost</t>
  </si>
  <si>
    <r>
      <t>Y</t>
    </r>
    <r>
      <rPr>
        <vertAlign val="subscript"/>
        <sz val="14"/>
        <color theme="1"/>
        <rFont val="Calibri"/>
        <family val="2"/>
        <scheme val="minor"/>
      </rPr>
      <t>A</t>
    </r>
  </si>
  <si>
    <r>
      <t>Y</t>
    </r>
    <r>
      <rPr>
        <vertAlign val="subscript"/>
        <sz val="14"/>
        <color theme="1"/>
        <rFont val="Calibri"/>
        <family val="2"/>
        <scheme val="minor"/>
      </rPr>
      <t>B</t>
    </r>
  </si>
  <si>
    <r>
      <t>W</t>
    </r>
    <r>
      <rPr>
        <vertAlign val="subscript"/>
        <sz val="14"/>
        <color theme="1"/>
        <rFont val="Calibri"/>
        <family val="2"/>
        <scheme val="minor"/>
      </rPr>
      <t>1</t>
    </r>
  </si>
  <si>
    <r>
      <t>W</t>
    </r>
    <r>
      <rPr>
        <vertAlign val="subscript"/>
        <sz val="14"/>
        <color theme="1"/>
        <rFont val="Calibri"/>
        <family val="2"/>
        <scheme val="minor"/>
      </rPr>
      <t>2</t>
    </r>
    <r>
      <rPr>
        <sz val="12"/>
        <color theme="1"/>
        <rFont val="Calibri"/>
        <family val="2"/>
        <scheme val="minor"/>
      </rPr>
      <t/>
    </r>
  </si>
  <si>
    <r>
      <t>W</t>
    </r>
    <r>
      <rPr>
        <vertAlign val="subscript"/>
        <sz val="14"/>
        <color theme="1"/>
        <rFont val="Calibri"/>
        <family val="2"/>
        <scheme val="minor"/>
      </rPr>
      <t>3</t>
    </r>
    <r>
      <rPr>
        <sz val="12"/>
        <color theme="1"/>
        <rFont val="Calibri"/>
        <family val="2"/>
        <scheme val="minor"/>
      </rPr>
      <t/>
    </r>
  </si>
  <si>
    <r>
      <t>X</t>
    </r>
    <r>
      <rPr>
        <vertAlign val="subscript"/>
        <sz val="14"/>
        <color theme="1"/>
        <rFont val="Calibri"/>
        <family val="2"/>
        <scheme val="minor"/>
      </rPr>
      <t>1A</t>
    </r>
  </si>
  <si>
    <r>
      <t>X</t>
    </r>
    <r>
      <rPr>
        <vertAlign val="subscript"/>
        <sz val="14"/>
        <color theme="1"/>
        <rFont val="Calibri"/>
        <family val="2"/>
        <scheme val="minor"/>
      </rPr>
      <t>2A</t>
    </r>
  </si>
  <si>
    <r>
      <t>X</t>
    </r>
    <r>
      <rPr>
        <vertAlign val="subscript"/>
        <sz val="14"/>
        <color theme="1"/>
        <rFont val="Calibri"/>
        <family val="2"/>
        <scheme val="minor"/>
      </rPr>
      <t>3A</t>
    </r>
  </si>
  <si>
    <r>
      <t>X</t>
    </r>
    <r>
      <rPr>
        <vertAlign val="subscript"/>
        <sz val="14"/>
        <color theme="1"/>
        <rFont val="Calibri"/>
        <family val="2"/>
        <scheme val="minor"/>
      </rPr>
      <t>4A</t>
    </r>
  </si>
  <si>
    <r>
      <t>X</t>
    </r>
    <r>
      <rPr>
        <vertAlign val="subscript"/>
        <sz val="14"/>
        <color theme="1"/>
        <rFont val="Calibri"/>
        <family val="2"/>
        <scheme val="minor"/>
      </rPr>
      <t>5A</t>
    </r>
  </si>
  <si>
    <r>
      <t>X</t>
    </r>
    <r>
      <rPr>
        <vertAlign val="subscript"/>
        <sz val="14"/>
        <color theme="1"/>
        <rFont val="Calibri"/>
        <family val="2"/>
        <scheme val="minor"/>
      </rPr>
      <t>1B</t>
    </r>
  </si>
  <si>
    <r>
      <t>X</t>
    </r>
    <r>
      <rPr>
        <vertAlign val="subscript"/>
        <sz val="14"/>
        <color theme="1"/>
        <rFont val="Calibri"/>
        <family val="2"/>
        <scheme val="minor"/>
      </rPr>
      <t>2B</t>
    </r>
  </si>
  <si>
    <r>
      <t>X</t>
    </r>
    <r>
      <rPr>
        <vertAlign val="subscript"/>
        <sz val="14"/>
        <color theme="1"/>
        <rFont val="Calibri"/>
        <family val="2"/>
        <scheme val="minor"/>
      </rPr>
      <t>3B</t>
    </r>
  </si>
  <si>
    <r>
      <t>X</t>
    </r>
    <r>
      <rPr>
        <vertAlign val="subscript"/>
        <sz val="14"/>
        <color theme="1"/>
        <rFont val="Calibri"/>
        <family val="2"/>
        <scheme val="minor"/>
      </rPr>
      <t>4B</t>
    </r>
  </si>
  <si>
    <r>
      <t>X</t>
    </r>
    <r>
      <rPr>
        <vertAlign val="subscript"/>
        <sz val="14"/>
        <color theme="1"/>
        <rFont val="Calibri"/>
        <family val="2"/>
        <scheme val="minor"/>
      </rPr>
      <t>5B</t>
    </r>
  </si>
  <si>
    <r>
      <t>M</t>
    </r>
    <r>
      <rPr>
        <vertAlign val="subscript"/>
        <sz val="14"/>
        <color theme="1"/>
        <rFont val="Calibri"/>
        <family val="2"/>
        <scheme val="minor"/>
      </rPr>
      <t>1</t>
    </r>
  </si>
  <si>
    <r>
      <t>M</t>
    </r>
    <r>
      <rPr>
        <vertAlign val="subscript"/>
        <sz val="14"/>
        <color theme="1"/>
        <rFont val="Calibri"/>
        <family val="2"/>
        <scheme val="minor"/>
      </rPr>
      <t>2</t>
    </r>
    <r>
      <rPr>
        <sz val="12"/>
        <color theme="1"/>
        <rFont val="Calibri"/>
        <family val="2"/>
        <scheme val="minor"/>
      </rPr>
      <t/>
    </r>
  </si>
  <si>
    <r>
      <t>M</t>
    </r>
    <r>
      <rPr>
        <vertAlign val="subscript"/>
        <sz val="14"/>
        <color theme="1"/>
        <rFont val="Calibri"/>
        <family val="2"/>
        <scheme val="minor"/>
      </rPr>
      <t>3</t>
    </r>
    <r>
      <rPr>
        <sz val="12"/>
        <color theme="1"/>
        <rFont val="Calibri"/>
        <family val="2"/>
        <scheme val="minor"/>
      </rPr>
      <t/>
    </r>
  </si>
  <si>
    <r>
      <t>M</t>
    </r>
    <r>
      <rPr>
        <vertAlign val="subscript"/>
        <sz val="14"/>
        <color theme="1"/>
        <rFont val="Calibri"/>
        <family val="2"/>
        <scheme val="minor"/>
      </rPr>
      <t>4</t>
    </r>
    <r>
      <rPr>
        <sz val="12"/>
        <color theme="1"/>
        <rFont val="Calibri"/>
        <family val="2"/>
        <scheme val="minor"/>
      </rPr>
      <t/>
    </r>
  </si>
  <si>
    <r>
      <t>M</t>
    </r>
    <r>
      <rPr>
        <vertAlign val="subscript"/>
        <sz val="14"/>
        <color theme="1"/>
        <rFont val="Calibri"/>
        <family val="2"/>
        <scheme val="minor"/>
      </rPr>
      <t>5</t>
    </r>
  </si>
  <si>
    <t>Sum Metals = Alloy Made</t>
  </si>
  <si>
    <t xml:space="preserve">Metal Specifications </t>
  </si>
  <si>
    <t>Metal found in ore:</t>
  </si>
  <si>
    <t>Metal II</t>
  </si>
  <si>
    <t>Metal IV</t>
  </si>
  <si>
    <t>Metal III</t>
  </si>
  <si>
    <t xml:space="preserve">Maximum Ore Extracted </t>
  </si>
  <si>
    <t>Ore 1</t>
  </si>
  <si>
    <t xml:space="preserve">Ore 2 </t>
  </si>
  <si>
    <t xml:space="preserve">Ore 3 </t>
  </si>
  <si>
    <t>Producing Alloys Optimization Problem (Cleary)</t>
  </si>
  <si>
    <t>Objective Function (Max profit)</t>
  </si>
  <si>
    <t># tons of ore (j) used</t>
  </si>
  <si>
    <t># tons of Metal (i) left over</t>
  </si>
  <si>
    <t># tons of Alloy (k) made</t>
  </si>
  <si>
    <t># tons of Metal (i) used to make Alloy (k)</t>
  </si>
  <si>
    <t xml:space="preserve">Metal I </t>
  </si>
  <si>
    <t xml:space="preserve">Profit </t>
  </si>
  <si>
    <t>dd</t>
  </si>
  <si>
    <t xml:space="preserve">Ranges Names Used: </t>
  </si>
  <si>
    <t>DecisionVars</t>
  </si>
  <si>
    <t>OreExtracted</t>
  </si>
  <si>
    <t>OreAvail</t>
  </si>
  <si>
    <t>MetalOreUsed</t>
  </si>
  <si>
    <t>MetalAvail</t>
  </si>
  <si>
    <t>AlloyAMetal2</t>
  </si>
  <si>
    <t>AlloyAMetal3</t>
  </si>
  <si>
    <t>AlloyAMetal4</t>
  </si>
  <si>
    <t>AlloyBMetal2a</t>
  </si>
  <si>
    <t>AlloyBMetal2b</t>
  </si>
  <si>
    <t>AlloyBMetal3</t>
  </si>
  <si>
    <t>AlloyBMetal4</t>
  </si>
  <si>
    <t>AvailAlloyAMetal2</t>
  </si>
  <si>
    <t>AvailAlloyAMetal3</t>
  </si>
  <si>
    <t>AvailAlloyAMetal4</t>
  </si>
  <si>
    <t>AvailAlloyBMetal2a</t>
  </si>
  <si>
    <t>AvailAlloyBMetal2b</t>
  </si>
  <si>
    <t>AvailAlloyBMetal3</t>
  </si>
  <si>
    <t>AvailAlloyBMetal4</t>
  </si>
  <si>
    <t>AlloysMade</t>
  </si>
  <si>
    <t>MetalsAvail</t>
  </si>
  <si>
    <t>Alloy B (tons)</t>
  </si>
  <si>
    <t>Alloy A (tons)</t>
  </si>
  <si>
    <t>Ore 1 (tons)</t>
  </si>
  <si>
    <t>Ore 2 (tons)</t>
  </si>
  <si>
    <t>Ore 3 (tons)</t>
  </si>
  <si>
    <t xml:space="preserve">Alloy A </t>
  </si>
  <si>
    <t xml:space="preserve">Alloy B </t>
  </si>
  <si>
    <t xml:space="preserve">Ore 1 </t>
  </si>
  <si>
    <t xml:space="preserve"> = wsModel!$D$28</t>
  </si>
  <si>
    <t xml:space="preserve"> = wsModel!$D$8:$W$8</t>
  </si>
  <si>
    <t>= wsModel!$X$10:$X$12</t>
  </si>
  <si>
    <t>=wsModel!$Z$10:$Z$12</t>
  </si>
  <si>
    <t>=wsModel!$X$13:$X:$17</t>
  </si>
  <si>
    <t>=wsModel!$Z$13:$Z$17</t>
  </si>
  <si>
    <t>=wsModel!$X$18</t>
  </si>
  <si>
    <t>=wsModel!$X$19</t>
  </si>
  <si>
    <t>=wsModel!$X$20</t>
  </si>
  <si>
    <t>=wsModel!$X$21</t>
  </si>
  <si>
    <t>=wsModel!$X$22</t>
  </si>
  <si>
    <t>=wsModel!$X$23</t>
  </si>
  <si>
    <t>=wsModel!$X$24</t>
  </si>
  <si>
    <t>=wsModel!$Z$18</t>
  </si>
  <si>
    <t>=wsModel!$Z$19</t>
  </si>
  <si>
    <t>=wsModel!$Z$20</t>
  </si>
  <si>
    <t>=wsModel!$Z$21</t>
  </si>
  <si>
    <t>=wsModel!$Z$22</t>
  </si>
  <si>
    <t>=wsModel!$Z$23</t>
  </si>
  <si>
    <t>=wsModel!$Z$24</t>
  </si>
  <si>
    <t>=wsModel!$X$25:$X26</t>
  </si>
  <si>
    <t>=wsModel!$Z$25:$X26</t>
  </si>
  <si>
    <t>Metal Specifications per Alloy</t>
  </si>
  <si>
    <t>Metal II is at least</t>
  </si>
  <si>
    <t>Metal II is at most</t>
  </si>
  <si>
    <t>Metal III is at least</t>
  </si>
  <si>
    <t>Metal III is at most</t>
  </si>
  <si>
    <t>Metal IV at least</t>
  </si>
  <si>
    <t>Metal IV at most</t>
  </si>
  <si>
    <t>Percentage of metal found in Ores:</t>
  </si>
  <si>
    <t>Sum</t>
  </si>
  <si>
    <t>Metal I is at most</t>
  </si>
  <si>
    <t>Metal 1 is at most</t>
  </si>
  <si>
    <t>Metal 2 is at most</t>
  </si>
  <si>
    <t>Metal 4 at least</t>
  </si>
  <si>
    <t>Metal 2 is at least</t>
  </si>
  <si>
    <t>Metal 3 is at least</t>
  </si>
  <si>
    <t>Metal 4 at most</t>
  </si>
  <si>
    <t>Sensitivity analysis: Price Alloy A</t>
  </si>
  <si>
    <t>Price Alloy 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</si>
</sst>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quot;$&quot;* #,##0.00_-;\-&quot;$&quot;* #,##0.00_-;_-&quot;$&quot;* &quot;-&quot;??_-;_-@_-"/>
    <numFmt numFmtId="165" formatCode="_-* #,##0.00_-;\-* #,##0.00_-;_-* &quot;-&quot;??_-;_-@_-"/>
    <numFmt numFmtId="166" formatCode="_-&quot;$&quot;* #,##0_-;\-&quot;$&quot;* #,##0_-;_-&quot;$&quot;* &quot;-&quot;??_-;_-@_-"/>
    <numFmt numFmtId="167" formatCode="&quot;$&quot;#,###.#0"/>
    <numFmt numFmtId="168" formatCode="#,###"/>
    <numFmt numFmtId="169" formatCode="&quot;$&quot;#,###"/>
    <numFmt numFmtId="170" formatCode="_-* #,##0_-;\-* #,##0_-;_-* &quot;-&quot;??_-;_-@_-"/>
  </numFmts>
  <fonts count="11" x14ac:knownFonts="1">
    <font>
      <sz val="12"/>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vertAlign val="subscript"/>
      <sz val="14"/>
      <color theme="1"/>
      <name val="Calibri"/>
      <family val="2"/>
      <scheme val="minor"/>
    </font>
    <font>
      <i/>
      <sz val="14"/>
      <color theme="1"/>
      <name val="Calibri"/>
      <family val="2"/>
      <scheme val="minor"/>
    </font>
    <font>
      <b/>
      <sz val="14"/>
      <color theme="1"/>
      <name val="Calibri"/>
      <family val="2"/>
      <scheme val="minor"/>
    </font>
    <font>
      <sz val="8"/>
      <name val="Calibri"/>
      <family val="2"/>
      <scheme val="minor"/>
    </font>
    <font>
      <b/>
      <sz val="11"/>
      <name val="Calibri"/>
      <family val="2"/>
      <scheme val="minor"/>
    </font>
    <font>
      <sz val="11"/>
      <name val="Calibri"/>
      <family val="2"/>
      <scheme val="minor"/>
    </font>
    <font>
      <sz val="12"/>
      <color rgb="FF0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47">
    <border>
      <left/>
      <right/>
      <top/>
      <bottom/>
      <diagonal/>
    </border>
    <border>
      <left style="thin">
        <color auto="1"/>
      </left>
      <right/>
      <top/>
      <bottom/>
      <diagonal/>
    </border>
    <border>
      <left style="hair">
        <color auto="1"/>
      </left>
      <right/>
      <top/>
      <bottom/>
      <diagonal/>
    </border>
    <border>
      <left style="hair">
        <color auto="1"/>
      </left>
      <right style="hair">
        <color auto="1"/>
      </right>
      <top/>
      <bottom/>
      <diagonal/>
    </border>
    <border>
      <left style="hair">
        <color auto="1"/>
      </left>
      <right style="thin">
        <color auto="1"/>
      </right>
      <top/>
      <bottom/>
      <diagonal/>
    </border>
    <border>
      <left/>
      <right style="thin">
        <color auto="1"/>
      </right>
      <top/>
      <bottom/>
      <diagonal/>
    </border>
    <border>
      <left/>
      <right/>
      <top/>
      <bottom style="medium">
        <color auto="1"/>
      </bottom>
      <diagonal/>
    </border>
    <border>
      <left style="thin">
        <color auto="1"/>
      </left>
      <right/>
      <top/>
      <bottom style="medium">
        <color auto="1"/>
      </bottom>
      <diagonal/>
    </border>
    <border>
      <left style="hair">
        <color auto="1"/>
      </left>
      <right/>
      <top/>
      <bottom style="medium">
        <color auto="1"/>
      </bottom>
      <diagonal/>
    </border>
    <border>
      <left style="hair">
        <color auto="1"/>
      </left>
      <right style="hair">
        <color auto="1"/>
      </right>
      <top/>
      <bottom style="medium">
        <color auto="1"/>
      </bottom>
      <diagonal/>
    </border>
    <border>
      <left style="hair">
        <color auto="1"/>
      </left>
      <right style="thin">
        <color auto="1"/>
      </right>
      <top/>
      <bottom style="medium">
        <color auto="1"/>
      </bottom>
      <diagonal/>
    </border>
    <border>
      <left/>
      <right style="thin">
        <color auto="1"/>
      </right>
      <top/>
      <bottom style="medium">
        <color auto="1"/>
      </bottom>
      <diagonal/>
    </border>
    <border>
      <left style="thin">
        <color auto="1"/>
      </left>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right/>
      <top/>
      <bottom style="thin">
        <color auto="1"/>
      </bottom>
      <diagonal/>
    </border>
    <border>
      <left style="thin">
        <color auto="1"/>
      </left>
      <right/>
      <top/>
      <bottom style="thin">
        <color auto="1"/>
      </bottom>
      <diagonal/>
    </border>
    <border>
      <left style="hair">
        <color auto="1"/>
      </left>
      <right/>
      <top/>
      <bottom style="thin">
        <color auto="1"/>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hair">
        <color auto="1"/>
      </top>
      <bottom style="thin">
        <color auto="1"/>
      </bottom>
      <diagonal/>
    </border>
    <border>
      <left style="hair">
        <color auto="1"/>
      </left>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hair">
        <color auto="1"/>
      </bottom>
      <diagonal/>
    </border>
    <border>
      <left style="hair">
        <color auto="1"/>
      </left>
      <right style="thin">
        <color auto="1"/>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top/>
      <bottom style="hair">
        <color auto="1"/>
      </bottom>
      <diagonal/>
    </border>
    <border>
      <left/>
      <right style="thin">
        <color auto="1"/>
      </right>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9"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5" fontId="1" fillId="0" borderId="0" applyFont="0" applyFill="0" applyBorder="0" applyAlignment="0" applyProtection="0"/>
  </cellStyleXfs>
  <cellXfs count="207">
    <xf numFmtId="0" fontId="0" fillId="0" borderId="0" xfId="0"/>
    <xf numFmtId="0" fontId="1" fillId="0" borderId="1" xfId="2" applyFill="1" applyBorder="1" applyAlignment="1">
      <alignment horizontal="right"/>
    </xf>
    <xf numFmtId="0" fontId="1" fillId="0" borderId="2" xfId="2" applyFill="1" applyBorder="1" applyAlignment="1">
      <alignment horizontal="right"/>
    </xf>
    <xf numFmtId="0" fontId="1" fillId="0" borderId="3" xfId="2" applyFill="1" applyBorder="1" applyAlignment="1">
      <alignment horizontal="right"/>
    </xf>
    <xf numFmtId="0" fontId="1" fillId="0" borderId="4" xfId="2" applyFill="1" applyBorder="1" applyAlignment="1">
      <alignment horizontal="right"/>
    </xf>
    <xf numFmtId="0" fontId="1" fillId="0" borderId="0" xfId="2" applyFill="1" applyBorder="1" applyAlignment="1">
      <alignment horizontal="right"/>
    </xf>
    <xf numFmtId="0" fontId="1" fillId="0" borderId="5" xfId="2" applyFill="1" applyBorder="1" applyAlignment="1">
      <alignment horizontal="right"/>
    </xf>
    <xf numFmtId="0" fontId="1" fillId="0" borderId="12" xfId="2" applyFont="1" applyFill="1" applyBorder="1" applyAlignment="1">
      <alignment horizontal="right"/>
    </xf>
    <xf numFmtId="0" fontId="1" fillId="0" borderId="13" xfId="2" applyFont="1" applyFill="1" applyBorder="1" applyAlignment="1">
      <alignment horizontal="right"/>
    </xf>
    <xf numFmtId="0" fontId="1" fillId="0" borderId="14" xfId="2" applyFont="1" applyFill="1" applyBorder="1" applyAlignment="1">
      <alignment horizontal="right"/>
    </xf>
    <xf numFmtId="0" fontId="1" fillId="0" borderId="15" xfId="2" applyFont="1" applyFill="1" applyBorder="1" applyAlignment="1">
      <alignment horizontal="right"/>
    </xf>
    <xf numFmtId="0" fontId="1" fillId="0" borderId="16" xfId="2" applyFont="1" applyFill="1" applyBorder="1" applyAlignment="1">
      <alignment horizontal="right"/>
    </xf>
    <xf numFmtId="0" fontId="1" fillId="0" borderId="17" xfId="2" applyFont="1" applyFill="1" applyBorder="1" applyAlignment="1">
      <alignment horizontal="right"/>
    </xf>
    <xf numFmtId="0" fontId="1" fillId="0" borderId="19" xfId="2" applyFont="1" applyFill="1" applyBorder="1" applyAlignment="1">
      <alignment horizontal="right"/>
    </xf>
    <xf numFmtId="0" fontId="1" fillId="0" borderId="20" xfId="2" applyFont="1" applyFill="1" applyBorder="1" applyAlignment="1">
      <alignment horizontal="right"/>
    </xf>
    <xf numFmtId="0" fontId="1" fillId="0" borderId="21" xfId="2" applyFont="1" applyFill="1" applyBorder="1" applyAlignment="1">
      <alignment horizontal="right"/>
    </xf>
    <xf numFmtId="0" fontId="1" fillId="0" borderId="22" xfId="2" applyFont="1" applyFill="1" applyBorder="1" applyAlignment="1">
      <alignment horizontal="right"/>
    </xf>
    <xf numFmtId="0" fontId="1" fillId="0" borderId="18" xfId="2" applyFont="1" applyFill="1" applyBorder="1" applyAlignment="1">
      <alignment horizontal="right"/>
    </xf>
    <xf numFmtId="0" fontId="1" fillId="0" borderId="23" xfId="2" applyFont="1" applyFill="1" applyBorder="1" applyAlignment="1">
      <alignment horizontal="right"/>
    </xf>
    <xf numFmtId="0" fontId="0" fillId="0" borderId="0" xfId="2" applyFont="1" applyFill="1" applyBorder="1" applyAlignment="1">
      <alignment horizontal="left"/>
    </xf>
    <xf numFmtId="0" fontId="0" fillId="0" borderId="0" xfId="2" applyFont="1" applyFill="1" applyBorder="1" applyAlignment="1"/>
    <xf numFmtId="0" fontId="1" fillId="0" borderId="12" xfId="2" applyFill="1" applyBorder="1" applyAlignment="1">
      <alignment horizontal="right"/>
    </xf>
    <xf numFmtId="0" fontId="1" fillId="0" borderId="14" xfId="2" applyFill="1" applyBorder="1" applyAlignment="1">
      <alignment horizontal="right"/>
    </xf>
    <xf numFmtId="0" fontId="1" fillId="0" borderId="15" xfId="2" applyFill="1" applyBorder="1" applyAlignment="1">
      <alignment horizontal="right"/>
    </xf>
    <xf numFmtId="0" fontId="1" fillId="0" borderId="16" xfId="2" applyFill="1" applyBorder="1" applyAlignment="1">
      <alignment horizontal="right"/>
    </xf>
    <xf numFmtId="0" fontId="1" fillId="0" borderId="17" xfId="2" applyFill="1" applyBorder="1" applyAlignment="1">
      <alignment horizontal="right"/>
    </xf>
    <xf numFmtId="49" fontId="1" fillId="0" borderId="16" xfId="2" applyNumberFormat="1" applyFill="1" applyBorder="1" applyAlignment="1">
      <alignment horizontal="right"/>
    </xf>
    <xf numFmtId="0" fontId="1" fillId="0" borderId="19" xfId="2" applyFill="1" applyBorder="1" applyAlignment="1">
      <alignment horizontal="right"/>
    </xf>
    <xf numFmtId="0" fontId="1" fillId="0" borderId="21" xfId="2" applyFill="1" applyBorder="1" applyAlignment="1">
      <alignment horizontal="right"/>
    </xf>
    <xf numFmtId="0" fontId="1" fillId="0" borderId="22" xfId="2" applyFill="1" applyBorder="1" applyAlignment="1">
      <alignment horizontal="right"/>
    </xf>
    <xf numFmtId="0" fontId="1" fillId="0" borderId="18" xfId="2" applyFill="1" applyBorder="1" applyAlignment="1">
      <alignment horizontal="right"/>
    </xf>
    <xf numFmtId="0" fontId="1" fillId="0" borderId="23" xfId="2" applyFill="1" applyBorder="1" applyAlignment="1">
      <alignment horizontal="right"/>
    </xf>
    <xf numFmtId="49" fontId="1" fillId="0" borderId="18" xfId="2" applyNumberFormat="1" applyFill="1" applyBorder="1" applyAlignment="1">
      <alignment horizontal="right"/>
    </xf>
    <xf numFmtId="0" fontId="1" fillId="0" borderId="0" xfId="2" applyFill="1" applyBorder="1" applyAlignment="1">
      <alignment horizontal="left"/>
    </xf>
    <xf numFmtId="49" fontId="1" fillId="0" borderId="0" xfId="2" applyNumberFormat="1" applyFill="1" applyBorder="1" applyAlignment="1">
      <alignment horizontal="right"/>
    </xf>
    <xf numFmtId="0" fontId="1" fillId="0" borderId="28" xfId="2" applyFill="1" applyBorder="1" applyAlignment="1">
      <alignment horizontal="right"/>
    </xf>
    <xf numFmtId="0" fontId="1" fillId="0" borderId="29" xfId="2" applyFill="1" applyBorder="1" applyAlignment="1">
      <alignment horizontal="right"/>
    </xf>
    <xf numFmtId="0" fontId="1" fillId="0" borderId="30" xfId="2" applyFill="1" applyBorder="1" applyAlignment="1">
      <alignment horizontal="right"/>
    </xf>
    <xf numFmtId="0" fontId="1" fillId="0" borderId="31" xfId="2" applyFill="1" applyBorder="1" applyAlignment="1">
      <alignment horizontal="right"/>
    </xf>
    <xf numFmtId="0" fontId="1" fillId="0" borderId="32" xfId="2" applyFill="1" applyBorder="1" applyAlignment="1">
      <alignment horizontal="right"/>
    </xf>
    <xf numFmtId="0" fontId="1" fillId="0" borderId="33" xfId="2" applyFill="1" applyBorder="1" applyAlignment="1">
      <alignment horizontal="right"/>
    </xf>
    <xf numFmtId="49" fontId="1" fillId="0" borderId="32" xfId="2" applyNumberFormat="1" applyFill="1" applyBorder="1" applyAlignment="1">
      <alignment horizontal="right"/>
    </xf>
    <xf numFmtId="0" fontId="1" fillId="0" borderId="34" xfId="2" applyFont="1" applyFill="1" applyBorder="1" applyAlignment="1">
      <alignment horizontal="right"/>
    </xf>
    <xf numFmtId="0" fontId="1" fillId="0" borderId="35" xfId="2" applyFont="1" applyFill="1" applyBorder="1" applyAlignment="1">
      <alignment horizontal="right"/>
    </xf>
    <xf numFmtId="0" fontId="1" fillId="0" borderId="28" xfId="2" applyFont="1" applyFill="1" applyBorder="1" applyAlignment="1">
      <alignment horizontal="right"/>
    </xf>
    <xf numFmtId="0" fontId="1" fillId="0" borderId="31" xfId="2" applyFont="1" applyFill="1" applyBorder="1" applyAlignment="1">
      <alignment horizontal="right"/>
    </xf>
    <xf numFmtId="49" fontId="1" fillId="0" borderId="36" xfId="2" applyNumberFormat="1" applyFill="1" applyBorder="1" applyAlignment="1">
      <alignment horizontal="right"/>
    </xf>
    <xf numFmtId="49" fontId="1" fillId="0" borderId="38" xfId="2" applyNumberFormat="1" applyFill="1" applyBorder="1" applyAlignment="1">
      <alignment horizontal="right"/>
    </xf>
    <xf numFmtId="0" fontId="1" fillId="0" borderId="36" xfId="2" applyFont="1" applyFill="1" applyBorder="1" applyAlignment="1">
      <alignment horizontal="right"/>
    </xf>
    <xf numFmtId="0" fontId="1" fillId="0" borderId="39" xfId="2" applyFill="1" applyBorder="1" applyAlignment="1">
      <alignment horizontal="right"/>
    </xf>
    <xf numFmtId="0" fontId="2" fillId="0" borderId="0" xfId="2" applyFont="1" applyFill="1" applyBorder="1" applyAlignment="1">
      <alignment horizontal="right"/>
    </xf>
    <xf numFmtId="0" fontId="1" fillId="0" borderId="40" xfId="2" applyFont="1" applyFill="1" applyBorder="1" applyAlignment="1">
      <alignment horizontal="right"/>
    </xf>
    <xf numFmtId="0" fontId="1" fillId="0" borderId="41" xfId="2" applyFont="1" applyFill="1" applyBorder="1" applyAlignment="1">
      <alignment horizontal="right"/>
    </xf>
    <xf numFmtId="0" fontId="1" fillId="0" borderId="37" xfId="2" applyFont="1" applyFill="1" applyBorder="1" applyAlignment="1">
      <alignment horizontal="right"/>
    </xf>
    <xf numFmtId="0" fontId="2" fillId="0" borderId="6" xfId="2" applyFont="1" applyFill="1" applyBorder="1" applyAlignment="1">
      <alignment horizontal="center"/>
    </xf>
    <xf numFmtId="166" fontId="1" fillId="0" borderId="6" xfId="3" applyNumberFormat="1" applyFont="1" applyFill="1" applyBorder="1" applyAlignment="1"/>
    <xf numFmtId="0" fontId="3" fillId="0" borderId="0" xfId="2" applyFont="1" applyFill="1"/>
    <xf numFmtId="0" fontId="1" fillId="0" borderId="0" xfId="2" applyFill="1"/>
    <xf numFmtId="0" fontId="2" fillId="0" borderId="0" xfId="2" applyFont="1" applyFill="1"/>
    <xf numFmtId="0" fontId="1" fillId="0" borderId="0" xfId="2" applyFill="1" applyBorder="1"/>
    <xf numFmtId="166" fontId="0" fillId="0" borderId="19" xfId="3" applyNumberFormat="1" applyFont="1" applyFill="1" applyBorder="1" applyAlignment="1">
      <alignment horizontal="right"/>
    </xf>
    <xf numFmtId="166" fontId="0" fillId="0" borderId="23" xfId="3" applyNumberFormat="1" applyFont="1" applyFill="1" applyBorder="1" applyAlignment="1">
      <alignment horizontal="right"/>
    </xf>
    <xf numFmtId="166" fontId="2" fillId="0" borderId="18" xfId="3" applyNumberFormat="1" applyFont="1" applyFill="1" applyBorder="1"/>
    <xf numFmtId="166" fontId="2" fillId="0" borderId="23" xfId="3" applyNumberFormat="1" applyFont="1" applyFill="1" applyBorder="1"/>
    <xf numFmtId="0" fontId="1" fillId="0" borderId="0" xfId="2" applyFill="1" applyBorder="1" applyAlignment="1">
      <alignment horizontal="center"/>
    </xf>
    <xf numFmtId="166" fontId="0" fillId="0" borderId="0" xfId="3" applyNumberFormat="1" applyFont="1" applyFill="1" applyBorder="1"/>
    <xf numFmtId="0" fontId="1" fillId="0" borderId="0" xfId="2" applyFill="1" applyAlignment="1">
      <alignment horizontal="center"/>
    </xf>
    <xf numFmtId="0" fontId="3" fillId="0" borderId="1" xfId="2" applyFont="1" applyFill="1" applyBorder="1" applyAlignment="1">
      <alignment horizontal="right"/>
    </xf>
    <xf numFmtId="0" fontId="3" fillId="0" borderId="2" xfId="2" applyFont="1" applyFill="1" applyBorder="1" applyAlignment="1">
      <alignment horizontal="right"/>
    </xf>
    <xf numFmtId="0" fontId="3" fillId="0" borderId="3" xfId="2" applyFont="1" applyFill="1" applyBorder="1" applyAlignment="1">
      <alignment horizontal="right"/>
    </xf>
    <xf numFmtId="0" fontId="3" fillId="0" borderId="4" xfId="2" applyFont="1" applyFill="1" applyBorder="1" applyAlignment="1">
      <alignment horizontal="right"/>
    </xf>
    <xf numFmtId="0" fontId="3" fillId="0" borderId="0" xfId="2" applyFont="1" applyFill="1" applyBorder="1" applyAlignment="1">
      <alignment horizontal="right"/>
    </xf>
    <xf numFmtId="0" fontId="3" fillId="0" borderId="5" xfId="2" applyFont="1" applyFill="1" applyBorder="1" applyAlignment="1">
      <alignment horizontal="right"/>
    </xf>
    <xf numFmtId="0" fontId="3" fillId="0" borderId="0" xfId="2" applyFont="1" applyFill="1" applyAlignment="1">
      <alignment horizontal="right"/>
    </xf>
    <xf numFmtId="0" fontId="0" fillId="0" borderId="0" xfId="2" applyFont="1" applyFill="1"/>
    <xf numFmtId="9" fontId="1" fillId="0" borderId="1" xfId="1" applyFill="1" applyBorder="1" applyAlignment="1">
      <alignment horizontal="right"/>
    </xf>
    <xf numFmtId="9" fontId="1" fillId="0" borderId="3" xfId="1" applyFill="1" applyBorder="1" applyAlignment="1">
      <alignment horizontal="right"/>
    </xf>
    <xf numFmtId="9" fontId="1" fillId="0" borderId="4" xfId="1" applyFill="1" applyBorder="1" applyAlignment="1">
      <alignment horizontal="right"/>
    </xf>
    <xf numFmtId="9" fontId="1" fillId="0" borderId="12" xfId="1" applyFill="1" applyBorder="1" applyAlignment="1">
      <alignment horizontal="right"/>
    </xf>
    <xf numFmtId="9" fontId="1" fillId="0" borderId="14" xfId="1" applyFill="1" applyBorder="1" applyAlignment="1">
      <alignment horizontal="right"/>
    </xf>
    <xf numFmtId="9" fontId="1" fillId="0" borderId="15" xfId="1" applyFill="1" applyBorder="1" applyAlignment="1">
      <alignment horizontal="right"/>
    </xf>
    <xf numFmtId="9" fontId="1" fillId="0" borderId="19" xfId="1" applyFill="1" applyBorder="1" applyAlignment="1">
      <alignment horizontal="right"/>
    </xf>
    <xf numFmtId="9" fontId="1" fillId="0" borderId="21" xfId="1" applyFill="1" applyBorder="1" applyAlignment="1">
      <alignment horizontal="right"/>
    </xf>
    <xf numFmtId="9" fontId="1" fillId="0" borderId="22" xfId="1" applyFill="1" applyBorder="1" applyAlignment="1">
      <alignment horizontal="right"/>
    </xf>
    <xf numFmtId="9" fontId="1" fillId="0" borderId="2" xfId="1" applyFill="1" applyBorder="1" applyAlignment="1">
      <alignment horizontal="right"/>
    </xf>
    <xf numFmtId="9" fontId="1" fillId="0" borderId="13" xfId="1" applyFill="1" applyBorder="1" applyAlignment="1">
      <alignment horizontal="right"/>
    </xf>
    <xf numFmtId="9" fontId="1" fillId="0" borderId="20" xfId="1" applyFill="1" applyBorder="1" applyAlignment="1">
      <alignment horizontal="right"/>
    </xf>
    <xf numFmtId="49" fontId="1" fillId="0" borderId="0" xfId="2" applyNumberFormat="1" applyFill="1"/>
    <xf numFmtId="0" fontId="0" fillId="0" borderId="0" xfId="2" quotePrefix="1" applyFont="1" applyFill="1"/>
    <xf numFmtId="0" fontId="8" fillId="0" borderId="0" xfId="0" applyFont="1" applyFill="1"/>
    <xf numFmtId="0" fontId="0" fillId="0" borderId="0" xfId="0" applyFill="1"/>
    <xf numFmtId="0" fontId="9" fillId="0" borderId="0" xfId="0" applyFont="1" applyFill="1"/>
    <xf numFmtId="167" fontId="0" fillId="0" borderId="0" xfId="0" applyNumberFormat="1" applyFill="1"/>
    <xf numFmtId="2" fontId="0" fillId="0" borderId="0" xfId="0" applyNumberFormat="1" applyFill="1"/>
    <xf numFmtId="0" fontId="0" fillId="0" borderId="0" xfId="0" applyFill="1" applyAlignment="1"/>
    <xf numFmtId="0" fontId="0" fillId="0" borderId="0" xfId="0" applyFill="1" applyAlignment="1">
      <alignment horizontal="left"/>
    </xf>
    <xf numFmtId="0" fontId="0" fillId="0" borderId="0" xfId="0" applyFill="1" applyAlignment="1">
      <alignment wrapText="1"/>
    </xf>
    <xf numFmtId="9" fontId="0" fillId="0" borderId="0" xfId="1" applyFont="1" applyFill="1"/>
    <xf numFmtId="0" fontId="0" fillId="0" borderId="0" xfId="0" applyFill="1" applyBorder="1"/>
    <xf numFmtId="9" fontId="0" fillId="0" borderId="0" xfId="1" applyFont="1" applyFill="1" applyBorder="1"/>
    <xf numFmtId="0" fontId="0" fillId="0" borderId="0" xfId="0" applyNumberFormat="1" applyFill="1" applyAlignment="1">
      <alignment horizontal="left"/>
    </xf>
    <xf numFmtId="168" fontId="0" fillId="0" borderId="0" xfId="0" applyNumberFormat="1" applyFill="1"/>
    <xf numFmtId="168" fontId="0" fillId="0" borderId="0" xfId="4" applyNumberFormat="1" applyFont="1" applyFill="1"/>
    <xf numFmtId="169" fontId="0" fillId="0" borderId="0" xfId="0" quotePrefix="1" applyNumberFormat="1" applyFill="1"/>
    <xf numFmtId="168" fontId="0" fillId="0" borderId="0" xfId="0" quotePrefix="1" applyNumberFormat="1" applyFill="1"/>
    <xf numFmtId="0" fontId="0" fillId="0" borderId="0" xfId="0" quotePrefix="1" applyFont="1" applyFill="1"/>
    <xf numFmtId="0" fontId="0" fillId="0" borderId="0" xfId="0" quotePrefix="1" applyFill="1"/>
    <xf numFmtId="166" fontId="1" fillId="3" borderId="6" xfId="3" applyNumberFormat="1" applyFont="1" applyFill="1" applyBorder="1" applyAlignment="1">
      <alignment horizontal="center"/>
    </xf>
    <xf numFmtId="0" fontId="8" fillId="0" borderId="0" xfId="0" applyFont="1" applyFill="1" applyAlignment="1">
      <alignment horizontal="right"/>
    </xf>
    <xf numFmtId="166" fontId="0" fillId="0" borderId="0" xfId="4" applyNumberFormat="1" applyFont="1" applyFill="1" applyAlignment="1">
      <alignment horizontal="right"/>
    </xf>
    <xf numFmtId="0" fontId="0" fillId="0" borderId="0" xfId="0" applyNumberFormat="1" applyFill="1" applyAlignment="1">
      <alignment horizontal="right"/>
    </xf>
    <xf numFmtId="168" fontId="0" fillId="0" borderId="0" xfId="0" applyNumberFormat="1" applyFill="1" applyAlignment="1">
      <alignment horizontal="right"/>
    </xf>
    <xf numFmtId="168" fontId="0" fillId="0" borderId="0" xfId="4" applyNumberFormat="1" applyFont="1" applyFill="1" applyAlignment="1">
      <alignment horizontal="right"/>
    </xf>
    <xf numFmtId="168" fontId="0" fillId="0" borderId="0" xfId="4" applyNumberFormat="1" applyFont="1" applyFill="1" applyBorder="1" applyAlignment="1">
      <alignment horizontal="right"/>
    </xf>
    <xf numFmtId="166" fontId="0" fillId="0" borderId="0" xfId="4" applyNumberFormat="1" applyFont="1" applyFill="1" applyBorder="1" applyAlignment="1">
      <alignment horizontal="right"/>
    </xf>
    <xf numFmtId="0" fontId="9" fillId="0" borderId="0" xfId="0" applyNumberFormat="1" applyFont="1" applyFill="1" applyAlignment="1">
      <alignment horizontal="right"/>
    </xf>
    <xf numFmtId="166" fontId="9" fillId="0" borderId="0" xfId="4" applyNumberFormat="1" applyFont="1" applyFill="1" applyAlignment="1">
      <alignment horizontal="right"/>
    </xf>
    <xf numFmtId="167" fontId="0" fillId="0" borderId="0" xfId="4" applyNumberFormat="1" applyFont="1" applyFill="1" applyAlignment="1">
      <alignment horizontal="right"/>
    </xf>
    <xf numFmtId="167" fontId="0" fillId="0" borderId="0" xfId="0" applyNumberFormat="1" applyFill="1" applyAlignment="1">
      <alignment horizontal="right"/>
    </xf>
    <xf numFmtId="168" fontId="0" fillId="0" borderId="0" xfId="0" applyNumberFormat="1" applyFill="1" applyBorder="1" applyAlignment="1">
      <alignment horizontal="right"/>
    </xf>
    <xf numFmtId="2" fontId="0" fillId="0" borderId="0" xfId="0" applyNumberFormat="1" applyFill="1" applyAlignment="1">
      <alignment horizontal="right"/>
    </xf>
    <xf numFmtId="0" fontId="0" fillId="0" borderId="0" xfId="0" applyNumberFormat="1" applyFill="1" applyBorder="1" applyAlignment="1">
      <alignment horizontal="right"/>
    </xf>
    <xf numFmtId="0" fontId="1" fillId="0" borderId="0" xfId="2" applyFill="1" applyAlignment="1">
      <alignment horizontal="right"/>
    </xf>
    <xf numFmtId="166" fontId="2" fillId="0" borderId="19" xfId="3" applyNumberFormat="1" applyFont="1" applyFill="1" applyBorder="1" applyAlignment="1">
      <alignment horizontal="right"/>
    </xf>
    <xf numFmtId="166" fontId="0" fillId="0" borderId="0" xfId="3" applyNumberFormat="1" applyFont="1" applyFill="1" applyBorder="1" applyAlignment="1">
      <alignment horizontal="right"/>
    </xf>
    <xf numFmtId="0" fontId="0" fillId="0" borderId="0" xfId="2" quotePrefix="1" applyFont="1" applyFill="1" applyAlignment="1">
      <alignment horizontal="right"/>
    </xf>
    <xf numFmtId="0" fontId="0" fillId="0" borderId="0" xfId="2" quotePrefix="1" applyFont="1" applyFill="1" applyAlignment="1">
      <alignment horizontal="left"/>
    </xf>
    <xf numFmtId="166" fontId="1" fillId="0" borderId="0" xfId="3" applyNumberFormat="1" applyFont="1" applyFill="1" applyBorder="1" applyAlignment="1">
      <alignment horizontal="right"/>
    </xf>
    <xf numFmtId="0" fontId="0" fillId="0" borderId="0" xfId="2" applyFont="1" applyFill="1" applyAlignment="1">
      <alignment horizontal="right"/>
    </xf>
    <xf numFmtId="9" fontId="0" fillId="0" borderId="0" xfId="2" quotePrefix="1" applyNumberFormat="1" applyFont="1" applyFill="1"/>
    <xf numFmtId="170" fontId="1" fillId="2" borderId="7" xfId="5" applyNumberFormat="1" applyFill="1" applyBorder="1" applyAlignment="1">
      <alignment horizontal="right"/>
    </xf>
    <xf numFmtId="170" fontId="1" fillId="2" borderId="8" xfId="5" applyNumberFormat="1" applyFill="1" applyBorder="1" applyAlignment="1">
      <alignment horizontal="right"/>
    </xf>
    <xf numFmtId="170" fontId="1" fillId="2" borderId="9" xfId="5" applyNumberFormat="1" applyFill="1" applyBorder="1" applyAlignment="1">
      <alignment horizontal="right"/>
    </xf>
    <xf numFmtId="170" fontId="1" fillId="2" borderId="10" xfId="5" applyNumberFormat="1" applyFill="1" applyBorder="1" applyAlignment="1">
      <alignment horizontal="right"/>
    </xf>
    <xf numFmtId="170" fontId="1" fillId="2" borderId="6" xfId="5" applyNumberFormat="1" applyFill="1" applyBorder="1" applyAlignment="1">
      <alignment horizontal="right"/>
    </xf>
    <xf numFmtId="170" fontId="1" fillId="2" borderId="11" xfId="5" applyNumberFormat="1" applyFill="1" applyBorder="1" applyAlignment="1">
      <alignment horizontal="right"/>
    </xf>
    <xf numFmtId="0" fontId="0" fillId="0" borderId="0" xfId="0" applyAlignment="1">
      <alignment horizontal="left"/>
    </xf>
    <xf numFmtId="0" fontId="0" fillId="0" borderId="1" xfId="0" applyBorder="1"/>
    <xf numFmtId="0" fontId="0" fillId="0" borderId="0" xfId="0" applyBorder="1" applyAlignment="1">
      <alignment horizontal="right"/>
    </xf>
    <xf numFmtId="0" fontId="0" fillId="0" borderId="5" xfId="0" applyBorder="1" applyAlignment="1">
      <alignment horizontal="right"/>
    </xf>
    <xf numFmtId="0" fontId="0" fillId="0" borderId="19" xfId="0" applyBorder="1"/>
    <xf numFmtId="0" fontId="0" fillId="0" borderId="44" xfId="0" applyBorder="1"/>
    <xf numFmtId="9" fontId="1" fillId="3" borderId="0" xfId="1" applyFont="1" applyFill="1" applyBorder="1"/>
    <xf numFmtId="9" fontId="1" fillId="3" borderId="5" xfId="1" applyFont="1" applyFill="1" applyBorder="1"/>
    <xf numFmtId="9" fontId="1" fillId="3" borderId="18" xfId="1" applyFont="1" applyFill="1" applyBorder="1"/>
    <xf numFmtId="9" fontId="1" fillId="3" borderId="23" xfId="1" applyFont="1" applyFill="1" applyBorder="1"/>
    <xf numFmtId="0" fontId="0" fillId="0" borderId="25" xfId="0" applyFill="1" applyBorder="1"/>
    <xf numFmtId="9" fontId="0" fillId="0" borderId="26" xfId="1" applyFont="1" applyBorder="1"/>
    <xf numFmtId="9" fontId="0" fillId="0" borderId="26" xfId="5" applyNumberFormat="1" applyFont="1" applyBorder="1"/>
    <xf numFmtId="9" fontId="0" fillId="0" borderId="27" xfId="1" applyFont="1" applyBorder="1"/>
    <xf numFmtId="0" fontId="0" fillId="0" borderId="0" xfId="2" applyFont="1" applyFill="1" applyAlignment="1">
      <alignment horizontal="left"/>
    </xf>
    <xf numFmtId="0" fontId="0" fillId="0" borderId="0" xfId="0" applyBorder="1"/>
    <xf numFmtId="0" fontId="0" fillId="4" borderId="1" xfId="0" applyFill="1" applyBorder="1" applyAlignment="1">
      <alignment horizontal="left"/>
    </xf>
    <xf numFmtId="0" fontId="0" fillId="4" borderId="0" xfId="0" applyFill="1" applyBorder="1" applyAlignment="1">
      <alignment horizontal="left"/>
    </xf>
    <xf numFmtId="0" fontId="0" fillId="4" borderId="1" xfId="0" applyFill="1" applyBorder="1"/>
    <xf numFmtId="9" fontId="1" fillId="4" borderId="0" xfId="1" applyFont="1" applyFill="1" applyBorder="1"/>
    <xf numFmtId="9" fontId="0" fillId="4" borderId="0" xfId="1" applyFont="1" applyFill="1" applyBorder="1"/>
    <xf numFmtId="0" fontId="0" fillId="4" borderId="0" xfId="0" applyFill="1" applyBorder="1"/>
    <xf numFmtId="0" fontId="2" fillId="4" borderId="5" xfId="0" applyFont="1" applyFill="1" applyBorder="1" applyAlignment="1"/>
    <xf numFmtId="0" fontId="0" fillId="0" borderId="5" xfId="0" applyBorder="1"/>
    <xf numFmtId="0" fontId="0" fillId="4" borderId="24" xfId="0" applyFill="1" applyBorder="1"/>
    <xf numFmtId="0" fontId="0" fillId="4" borderId="25" xfId="0" applyFill="1" applyBorder="1"/>
    <xf numFmtId="0" fontId="0" fillId="4" borderId="42" xfId="0" applyFill="1" applyBorder="1" applyAlignment="1">
      <alignment horizontal="left"/>
    </xf>
    <xf numFmtId="9" fontId="1" fillId="3" borderId="19" xfId="1" applyFont="1" applyFill="1" applyBorder="1"/>
    <xf numFmtId="0" fontId="0" fillId="4" borderId="45" xfId="0" applyFill="1" applyBorder="1" applyAlignment="1"/>
    <xf numFmtId="9" fontId="0" fillId="3" borderId="46" xfId="1" applyFont="1" applyFill="1" applyBorder="1"/>
    <xf numFmtId="0" fontId="0" fillId="4" borderId="5" xfId="0" applyFill="1" applyBorder="1" applyAlignment="1">
      <alignment horizontal="left"/>
    </xf>
    <xf numFmtId="170" fontId="1" fillId="0" borderId="0" xfId="5" applyNumberFormat="1" applyFill="1"/>
    <xf numFmtId="170" fontId="1" fillId="0" borderId="1" xfId="5" applyNumberFormat="1" applyFill="1" applyBorder="1" applyAlignment="1">
      <alignment horizontal="center"/>
    </xf>
    <xf numFmtId="170" fontId="1" fillId="0" borderId="36" xfId="5" applyNumberFormat="1" applyFont="1" applyFill="1" applyBorder="1" applyAlignment="1">
      <alignment horizontal="right"/>
    </xf>
    <xf numFmtId="170" fontId="1" fillId="0" borderId="16" xfId="5" applyNumberFormat="1" applyFont="1" applyFill="1" applyBorder="1" applyAlignment="1">
      <alignment horizontal="right"/>
    </xf>
    <xf numFmtId="170" fontId="1" fillId="0" borderId="18" xfId="5" applyNumberFormat="1" applyFont="1" applyFill="1" applyBorder="1" applyAlignment="1">
      <alignment horizontal="right"/>
    </xf>
    <xf numFmtId="170" fontId="1" fillId="0" borderId="36" xfId="5" applyNumberFormat="1" applyFill="1" applyBorder="1" applyAlignment="1">
      <alignment horizontal="right"/>
    </xf>
    <xf numFmtId="170" fontId="1" fillId="0" borderId="16" xfId="5" applyNumberFormat="1" applyFill="1" applyBorder="1" applyAlignment="1">
      <alignment horizontal="right"/>
    </xf>
    <xf numFmtId="170" fontId="1" fillId="0" borderId="32" xfId="5" applyNumberFormat="1" applyFill="1" applyBorder="1" applyAlignment="1">
      <alignment horizontal="right"/>
    </xf>
    <xf numFmtId="170" fontId="1" fillId="0" borderId="38" xfId="5" applyNumberFormat="1" applyFill="1" applyBorder="1" applyAlignment="1">
      <alignment horizontal="right"/>
    </xf>
    <xf numFmtId="170" fontId="1" fillId="0" borderId="18" xfId="5" applyNumberFormat="1" applyFill="1" applyBorder="1" applyAlignment="1">
      <alignment horizontal="right"/>
    </xf>
    <xf numFmtId="170" fontId="1" fillId="0" borderId="0" xfId="5" applyNumberFormat="1" applyFill="1" applyBorder="1" applyAlignment="1">
      <alignment horizontal="right"/>
    </xf>
    <xf numFmtId="170" fontId="1" fillId="0" borderId="0" xfId="5" applyNumberFormat="1" applyFill="1" applyAlignment="1">
      <alignment horizontal="center"/>
    </xf>
    <xf numFmtId="170" fontId="1" fillId="0" borderId="37" xfId="5" applyNumberFormat="1" applyFont="1" applyFill="1" applyBorder="1" applyAlignment="1">
      <alignment horizontal="right"/>
    </xf>
    <xf numFmtId="170" fontId="1" fillId="0" borderId="17" xfId="5" applyNumberFormat="1" applyFont="1" applyFill="1" applyBorder="1" applyAlignment="1">
      <alignment horizontal="right"/>
    </xf>
    <xf numFmtId="170" fontId="1" fillId="0" borderId="23" xfId="5" applyNumberFormat="1" applyFont="1" applyFill="1" applyBorder="1" applyAlignment="1">
      <alignment horizontal="right"/>
    </xf>
    <xf numFmtId="170" fontId="1" fillId="0" borderId="37" xfId="5" applyNumberFormat="1" applyFill="1" applyBorder="1" applyAlignment="1">
      <alignment horizontal="right"/>
    </xf>
    <xf numFmtId="170" fontId="1" fillId="0" borderId="17" xfId="5" applyNumberFormat="1" applyFill="1" applyBorder="1" applyAlignment="1">
      <alignment horizontal="right"/>
    </xf>
    <xf numFmtId="170" fontId="1" fillId="0" borderId="33" xfId="5" applyNumberFormat="1" applyFill="1" applyBorder="1" applyAlignment="1">
      <alignment horizontal="right"/>
    </xf>
    <xf numFmtId="170" fontId="1" fillId="0" borderId="39" xfId="5" applyNumberFormat="1" applyFill="1" applyBorder="1" applyAlignment="1">
      <alignment horizontal="right"/>
    </xf>
    <xf numFmtId="170" fontId="1" fillId="0" borderId="23" xfId="5" applyNumberFormat="1" applyFill="1" applyBorder="1" applyAlignment="1">
      <alignment horizontal="right"/>
    </xf>
    <xf numFmtId="170" fontId="1" fillId="0" borderId="5" xfId="5" applyNumberFormat="1" applyFill="1" applyBorder="1" applyAlignment="1">
      <alignment horizontal="right"/>
    </xf>
    <xf numFmtId="0" fontId="0" fillId="4" borderId="0" xfId="0" applyFill="1" applyBorder="1" applyAlignment="1">
      <alignment wrapText="1"/>
    </xf>
    <xf numFmtId="9" fontId="1" fillId="4" borderId="0" xfId="1" applyFill="1" applyBorder="1" applyAlignment="1">
      <alignment horizontal="right"/>
    </xf>
    <xf numFmtId="0" fontId="2" fillId="0" borderId="42" xfId="0" applyFont="1" applyBorder="1" applyAlignment="1"/>
    <xf numFmtId="0" fontId="2" fillId="0" borderId="43" xfId="0" applyFont="1" applyBorder="1" applyAlignment="1"/>
    <xf numFmtId="0" fontId="2" fillId="0" borderId="44" xfId="0" applyFont="1" applyBorder="1" applyAlignment="1"/>
    <xf numFmtId="0" fontId="2" fillId="4" borderId="42" xfId="0" applyFont="1" applyFill="1" applyBorder="1" applyAlignment="1">
      <alignment horizontal="center" wrapText="1"/>
    </xf>
    <xf numFmtId="0" fontId="2" fillId="4" borderId="43" xfId="0" applyFont="1" applyFill="1" applyBorder="1" applyAlignment="1">
      <alignment horizontal="center" wrapText="1"/>
    </xf>
    <xf numFmtId="0" fontId="6" fillId="0" borderId="0" xfId="2" applyFont="1" applyFill="1" applyAlignment="1">
      <alignment horizontal="center"/>
    </xf>
    <xf numFmtId="170" fontId="3" fillId="0" borderId="0" xfId="5" applyNumberFormat="1" applyFont="1" applyFill="1" applyAlignment="1">
      <alignment horizontal="center"/>
    </xf>
    <xf numFmtId="170" fontId="3" fillId="0" borderId="18" xfId="5" applyNumberFormat="1" applyFont="1" applyFill="1" applyBorder="1" applyAlignment="1">
      <alignment horizontal="center"/>
    </xf>
    <xf numFmtId="0" fontId="1" fillId="0" borderId="25" xfId="2" applyFill="1" applyBorder="1" applyAlignment="1">
      <alignment horizontal="center"/>
    </xf>
    <xf numFmtId="0" fontId="1" fillId="0" borderId="27" xfId="2" applyFill="1" applyBorder="1" applyAlignment="1">
      <alignment horizontal="center"/>
    </xf>
    <xf numFmtId="0" fontId="0" fillId="0" borderId="25" xfId="2" applyFont="1" applyFill="1" applyBorder="1" applyAlignment="1">
      <alignment horizontal="center"/>
    </xf>
    <xf numFmtId="0" fontId="1" fillId="0" borderId="26" xfId="2" applyFill="1" applyBorder="1" applyAlignment="1">
      <alignment horizontal="center"/>
    </xf>
    <xf numFmtId="0" fontId="5" fillId="0" borderId="24" xfId="2" applyFont="1" applyFill="1" applyBorder="1" applyAlignment="1">
      <alignment horizontal="center"/>
    </xf>
    <xf numFmtId="0" fontId="5" fillId="0" borderId="24" xfId="2" applyFont="1" applyFill="1" applyBorder="1" applyAlignment="1">
      <alignment horizontal="left"/>
    </xf>
    <xf numFmtId="0" fontId="5" fillId="0" borderId="24" xfId="2" applyFont="1" applyFill="1" applyBorder="1" applyAlignment="1">
      <alignment horizontal="right"/>
    </xf>
    <xf numFmtId="0" fontId="2" fillId="4" borderId="0" xfId="0" applyFont="1" applyFill="1" applyBorder="1" applyAlignment="1"/>
    <xf numFmtId="0" fontId="2" fillId="4" borderId="0" xfId="0" applyFont="1" applyFill="1" applyBorder="1" applyAlignment="1">
      <alignment horizontal="center" wrapText="1"/>
    </xf>
  </cellXfs>
  <cellStyles count="6">
    <cellStyle name="Comma" xfId="5" builtinId="3"/>
    <cellStyle name="Currency" xfId="4" builtinId="4"/>
    <cellStyle name="Currency 2" xfId="3"/>
    <cellStyle name="Normal" xfId="0" builtinId="0"/>
    <cellStyle name="Normal 3" xfId="2"/>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 Analysis '!$A$1</c:f>
          <c:strCache>
            <c:ptCount val="1"/>
            <c:pt idx="0">
              <c:v>Sensitivity analysis: Price Alloy A</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'Sensitivity Analysis '!$A$3</c:f>
              <c:strCache>
                <c:ptCount val="1"/>
                <c:pt idx="0">
                  <c:v>Price Alloy A</c:v>
                </c:pt>
              </c:strCache>
            </c:strRef>
          </c:tx>
          <c:spPr>
            <a:solidFill>
              <a:schemeClr val="accent1">
                <a:lumMod val="40000"/>
                <a:lumOff val="60000"/>
              </a:schemeClr>
            </a:solidFill>
            <a:ln>
              <a:noFill/>
            </a:ln>
            <a:effectLst/>
          </c:spPr>
          <c:invertIfNegative val="0"/>
          <c:cat>
            <c:numRef>
              <c:f>'Sensitivity Analysis '!$A$4:$A$25</c:f>
              <c:numCache>
                <c:formatCode>"$"#,###.#0</c:formatCode>
                <c:ptCount val="22"/>
                <c:pt idx="0">
                  <c:v>2.0</c:v>
                </c:pt>
                <c:pt idx="1">
                  <c:v>7.0</c:v>
                </c:pt>
                <c:pt idx="2">
                  <c:v>12.0</c:v>
                </c:pt>
                <c:pt idx="3">
                  <c:v>17.0</c:v>
                </c:pt>
                <c:pt idx="4">
                  <c:v>22.0</c:v>
                </c:pt>
                <c:pt idx="5">
                  <c:v>27.0</c:v>
                </c:pt>
                <c:pt idx="6">
                  <c:v>32.0</c:v>
                </c:pt>
                <c:pt idx="7">
                  <c:v>37.0</c:v>
                </c:pt>
                <c:pt idx="8">
                  <c:v>42.0</c:v>
                </c:pt>
                <c:pt idx="9">
                  <c:v>47.0</c:v>
                </c:pt>
                <c:pt idx="10">
                  <c:v>52.0</c:v>
                </c:pt>
                <c:pt idx="11">
                  <c:v>57.0</c:v>
                </c:pt>
                <c:pt idx="12">
                  <c:v>62.0</c:v>
                </c:pt>
                <c:pt idx="13">
                  <c:v>67.0</c:v>
                </c:pt>
                <c:pt idx="14">
                  <c:v>72.0</c:v>
                </c:pt>
                <c:pt idx="15">
                  <c:v>77.0</c:v>
                </c:pt>
                <c:pt idx="16">
                  <c:v>82.0</c:v>
                </c:pt>
                <c:pt idx="17">
                  <c:v>87.0</c:v>
                </c:pt>
                <c:pt idx="18">
                  <c:v>92.0</c:v>
                </c:pt>
                <c:pt idx="19">
                  <c:v>97.0</c:v>
                </c:pt>
                <c:pt idx="20">
                  <c:v>102.0</c:v>
                </c:pt>
              </c:numCache>
            </c:numRef>
          </c:cat>
          <c:val>
            <c:numRef>
              <c:f>'Sensitivity Analysis '!$B$4:$B$24</c:f>
              <c:numCache>
                <c:formatCode>"$"#,###.#0</c:formatCode>
                <c:ptCount val="21"/>
                <c:pt idx="0">
                  <c:v>428798.9376</c:v>
                </c:pt>
                <c:pt idx="1">
                  <c:v>430629.0296</c:v>
                </c:pt>
                <c:pt idx="2">
                  <c:v>438129.0296</c:v>
                </c:pt>
                <c:pt idx="3">
                  <c:v>445629.0296</c:v>
                </c:pt>
                <c:pt idx="4">
                  <c:v>453129.0296</c:v>
                </c:pt>
                <c:pt idx="5">
                  <c:v>460629.0296</c:v>
                </c:pt>
                <c:pt idx="6">
                  <c:v>468129.0296</c:v>
                </c:pt>
                <c:pt idx="7">
                  <c:v>475629.0296</c:v>
                </c:pt>
                <c:pt idx="8">
                  <c:v>483129.0297</c:v>
                </c:pt>
                <c:pt idx="9">
                  <c:v>490629.0297</c:v>
                </c:pt>
                <c:pt idx="10">
                  <c:v>498129.0297</c:v>
                </c:pt>
                <c:pt idx="11">
                  <c:v>505629.0297</c:v>
                </c:pt>
                <c:pt idx="12">
                  <c:v>513129.0297</c:v>
                </c:pt>
                <c:pt idx="13">
                  <c:v>520629.0297</c:v>
                </c:pt>
                <c:pt idx="14">
                  <c:v>528129.0297</c:v>
                </c:pt>
                <c:pt idx="15">
                  <c:v>535629.0298</c:v>
                </c:pt>
                <c:pt idx="16">
                  <c:v>543129.0298</c:v>
                </c:pt>
                <c:pt idx="17">
                  <c:v>550629.0298</c:v>
                </c:pt>
                <c:pt idx="18">
                  <c:v>558129.0298</c:v>
                </c:pt>
                <c:pt idx="19">
                  <c:v>565629.0298</c:v>
                </c:pt>
                <c:pt idx="20">
                  <c:v>573129.0298</c:v>
                </c:pt>
              </c:numCache>
            </c:numRef>
          </c:val>
          <c:extLst xmlns:c16r2="http://schemas.microsoft.com/office/drawing/2015/06/chart">
            <c:ext xmlns:c16="http://schemas.microsoft.com/office/drawing/2014/chart" uri="{C3380CC4-5D6E-409C-BE32-E72D297353CC}">
              <c16:uniqueId val="{00000000-DE92-4F65-8FAE-1C61F8FB2998}"/>
            </c:ext>
          </c:extLst>
        </c:ser>
        <c:dLbls>
          <c:showLegendKey val="0"/>
          <c:showVal val="0"/>
          <c:showCatName val="0"/>
          <c:showSerName val="0"/>
          <c:showPercent val="0"/>
          <c:showBubbleSize val="0"/>
        </c:dLbls>
        <c:gapWidth val="4"/>
        <c:axId val="1160934944"/>
        <c:axId val="1160938336"/>
      </c:barChart>
      <c:catAx>
        <c:axId val="1160934944"/>
        <c:scaling>
          <c:orientation val="minMax"/>
        </c:scaling>
        <c:delete val="0"/>
        <c:axPos val="b"/>
        <c:title>
          <c:tx>
            <c:strRef>
              <c:f>'Sensitivity Analysis '!$A$3</c:f>
              <c:strCache>
                <c:ptCount val="1"/>
                <c:pt idx="0">
                  <c:v>Price Alloy A</c:v>
                </c:pt>
              </c:strCache>
            </c:strRef>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938336"/>
        <c:crosses val="autoZero"/>
        <c:auto val="1"/>
        <c:lblAlgn val="ctr"/>
        <c:lblOffset val="100"/>
        <c:noMultiLvlLbl val="0"/>
      </c:catAx>
      <c:valAx>
        <c:axId val="1160938336"/>
        <c:scaling>
          <c:orientation val="minMax"/>
        </c:scaling>
        <c:delete val="0"/>
        <c:axPos val="l"/>
        <c:title>
          <c:tx>
            <c:strRef>
              <c:f>'Sensitivity Analysis '!$B$3</c:f>
              <c:strCache>
                <c:ptCount val="1"/>
                <c:pt idx="0">
                  <c:v>Profit </c:v>
                </c:pt>
              </c:strCache>
            </c:strRef>
          </c:tx>
          <c:layout>
            <c:manualLayout>
              <c:xMode val="edge"/>
              <c:yMode val="edge"/>
              <c:x val="0.0577975857767548"/>
              <c:y val="0.038832565284178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out"/>
        <c:minorTickMark val="none"/>
        <c:tickLblPos val="nextTo"/>
        <c:spPr>
          <a:solidFill>
            <a:schemeClr val="bg1"/>
          </a:solid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0934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390526</xdr:colOff>
      <xdr:row>2</xdr:row>
      <xdr:rowOff>171448</xdr:rowOff>
    </xdr:from>
    <xdr:to>
      <xdr:col>11</xdr:col>
      <xdr:colOff>428626</xdr:colOff>
      <xdr:row>13</xdr:row>
      <xdr:rowOff>123824</xdr:rowOff>
    </xdr:to>
    <xdr:sp macro="" textlink="">
      <xdr:nvSpPr>
        <xdr:cNvPr id="2" name="TextBox 1"/>
        <xdr:cNvSpPr txBox="1"/>
      </xdr:nvSpPr>
      <xdr:spPr>
        <a:xfrm>
          <a:off x="390526" y="571498"/>
          <a:ext cx="8610600" cy="215265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dk1"/>
              </a:solidFill>
              <a:latin typeface="+mn-lt"/>
              <a:ea typeface="+mn-ea"/>
              <a:cs typeface="+mn-cs"/>
            </a:rPr>
            <a:t>A production manager at a company that produces alloys would use this optimization program to maximize total profit (objective function) from the sale of two alloys (A,B) given the cost of three ores(1,2,3). </a:t>
          </a:r>
          <a:r>
            <a:rPr lang="en-US" sz="1100" b="0" i="0" baseline="0">
              <a:solidFill>
                <a:schemeClr val="dk1"/>
              </a:solidFill>
              <a:effectLst/>
              <a:latin typeface="+mn-lt"/>
              <a:ea typeface="+mn-ea"/>
              <a:cs typeface="+mn-cs"/>
            </a:rPr>
            <a:t>Alloy A and B are the end products. In order to obtain metals, ores are purchased and the metails contained within them are extracted for production. Unused metals are classified as left over inventory and have no carrying or salvage value.</a:t>
          </a: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b="0" i="0" u="none" strike="noStrike" baseline="0">
              <a:solidFill>
                <a:schemeClr val="dk1"/>
              </a:solidFill>
              <a:latin typeface="+mn-lt"/>
              <a:ea typeface="+mn-ea"/>
              <a:cs typeface="+mn-cs"/>
            </a:rPr>
            <a:t>The model will perform sensitivity analysis based on the maximum tonnage of available ores, sales price of alloys, and cost of ores. The model will require analysis of each variable separately. The model outputs a table and chart on the worksheet titled "Sensitivity Analysis."  The table and chart allow the manager to quickly model three key variables. The worksheet titled "Model" is required for Solver to perform the optimization. </a:t>
          </a: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The two alloys are sold by the ton and the cost of each ore is measured in tons. The profit is calculated by summing the profit earned from each alloy less the total cost of ores.</a:t>
          </a: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482600</xdr:colOff>
          <xdr:row>27</xdr:row>
          <xdr:rowOff>101600</xdr:rowOff>
        </xdr:from>
        <xdr:to>
          <xdr:col>14</xdr:col>
          <xdr:colOff>635000</xdr:colOff>
          <xdr:row>30</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 Run Sensitivity Analysis</a:t>
              </a:r>
            </a:p>
          </xdr:txBody>
        </xdr:sp>
        <xdr:clientData fPrintsWithSheet="0"/>
      </xdr:twoCellAnchor>
    </mc:Choice>
    <mc:Fallback/>
  </mc:AlternateContent>
  <xdr:twoCellAnchor>
    <xdr:from>
      <xdr:col>0</xdr:col>
      <xdr:colOff>390526</xdr:colOff>
      <xdr:row>16</xdr:row>
      <xdr:rowOff>66675</xdr:rowOff>
    </xdr:from>
    <xdr:to>
      <xdr:col>11</xdr:col>
      <xdr:colOff>428627</xdr:colOff>
      <xdr:row>22</xdr:row>
      <xdr:rowOff>190501</xdr:rowOff>
    </xdr:to>
    <xdr:sp macro="" textlink="">
      <xdr:nvSpPr>
        <xdr:cNvPr id="3" name="TextBox 2"/>
        <xdr:cNvSpPr txBox="1"/>
      </xdr:nvSpPr>
      <xdr:spPr>
        <a:xfrm>
          <a:off x="390526" y="3267075"/>
          <a:ext cx="8610601" cy="1323976"/>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table on the left shows the concentrations of each metal within the ores . The table on the right shows the permitable concentrations of the specific metals within the different alloys. </a:t>
          </a: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latin typeface="+mn-lt"/>
            <a:ea typeface="+mn-ea"/>
            <a:cs typeface="+mn-cs"/>
          </a:endParaRPr>
        </a:p>
        <a:p>
          <a:r>
            <a:rPr lang="en-US" sz="1100" b="0" i="0" u="none" strike="noStrike" baseline="0">
              <a:solidFill>
                <a:schemeClr val="dk1"/>
              </a:solidFill>
              <a:latin typeface="+mn-lt"/>
              <a:ea typeface="+mn-ea"/>
              <a:cs typeface="+mn-cs"/>
            </a:rPr>
            <a:t>You may change the percentages by manipulating the tables on this page before running the sensitivity analysis. The allocations will not revert to the original values until you run the "Restore Original Percents" button. </a:t>
          </a:r>
        </a:p>
      </xdr:txBody>
    </xdr:sp>
    <xdr:clientData/>
  </xdr:twoCellAnchor>
  <mc:AlternateContent xmlns:mc="http://schemas.openxmlformats.org/markup-compatibility/2006">
    <mc:Choice xmlns:a14="http://schemas.microsoft.com/office/drawing/2010/main" Requires="a14">
      <xdr:twoCellAnchor>
        <xdr:from>
          <xdr:col>12</xdr:col>
          <xdr:colOff>12700</xdr:colOff>
          <xdr:row>31</xdr:row>
          <xdr:rowOff>114300</xdr:rowOff>
        </xdr:from>
        <xdr:to>
          <xdr:col>14</xdr:col>
          <xdr:colOff>444500</xdr:colOff>
          <xdr:row>33</xdr:row>
          <xdr:rowOff>50800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Restore Original Percents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209549</xdr:colOff>
      <xdr:row>1</xdr:row>
      <xdr:rowOff>38100</xdr:rowOff>
    </xdr:from>
    <xdr:to>
      <xdr:col>20</xdr:col>
      <xdr:colOff>371475</xdr:colOff>
      <xdr:row>21</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Instructions" enableFormatConditionsCalculation="0"/>
  <dimension ref="B28:N40"/>
  <sheetViews>
    <sheetView showGridLines="0" tabSelected="1" workbookViewId="0">
      <selection activeCell="H34" sqref="H34"/>
    </sheetView>
  </sheetViews>
  <sheetFormatPr baseColWidth="10" defaultColWidth="8.83203125" defaultRowHeight="16" x14ac:dyDescent="0.2"/>
  <cols>
    <col min="1" max="1" width="6.33203125" customWidth="1"/>
    <col min="2" max="5" width="7.6640625" customWidth="1"/>
    <col min="6" max="6" width="3.1640625" customWidth="1"/>
    <col min="7" max="7" width="6.6640625" customWidth="1"/>
    <col min="8" max="8" width="17.33203125" customWidth="1"/>
    <col min="9" max="9" width="16.83203125" customWidth="1"/>
    <col min="10" max="10" width="15.83203125" customWidth="1"/>
    <col min="11" max="11" width="15.5" customWidth="1"/>
    <col min="12" max="14" width="8.6640625" customWidth="1"/>
    <col min="15" max="16" width="9" bestFit="1" customWidth="1"/>
    <col min="17" max="17" width="9.5" bestFit="1" customWidth="1"/>
    <col min="18" max="18" width="10.6640625" customWidth="1"/>
    <col min="19" max="20" width="8.1640625" customWidth="1"/>
  </cols>
  <sheetData>
    <row r="28" spans="2:14" x14ac:dyDescent="0.2">
      <c r="B28" s="190" t="s">
        <v>111</v>
      </c>
      <c r="C28" s="191"/>
      <c r="D28" s="191"/>
      <c r="E28" s="192"/>
      <c r="G28" s="193" t="s">
        <v>104</v>
      </c>
      <c r="H28" s="194"/>
      <c r="I28" s="194"/>
      <c r="J28" s="194"/>
      <c r="K28" s="141"/>
    </row>
    <row r="29" spans="2:14" x14ac:dyDescent="0.2">
      <c r="B29" s="137"/>
      <c r="C29" s="138" t="s">
        <v>81</v>
      </c>
      <c r="D29" s="138" t="s">
        <v>41</v>
      </c>
      <c r="E29" s="139" t="s">
        <v>42</v>
      </c>
      <c r="G29" s="152"/>
      <c r="H29" s="151"/>
      <c r="I29" s="151"/>
      <c r="J29" s="151"/>
      <c r="K29" s="159"/>
    </row>
    <row r="30" spans="2:14" x14ac:dyDescent="0.2">
      <c r="B30" s="137" t="s">
        <v>4</v>
      </c>
      <c r="C30" s="142">
        <v>0.2</v>
      </c>
      <c r="D30" s="142">
        <v>0.1</v>
      </c>
      <c r="E30" s="143">
        <v>0.05</v>
      </c>
      <c r="G30" s="152"/>
      <c r="H30" s="162" t="s">
        <v>114</v>
      </c>
      <c r="I30" s="164" t="s">
        <v>115</v>
      </c>
      <c r="J30" s="164" t="s">
        <v>116</v>
      </c>
      <c r="K30" s="158"/>
      <c r="L30" s="157"/>
      <c r="M30" s="157"/>
      <c r="N30" s="157"/>
    </row>
    <row r="31" spans="2:14" s="136" customFormat="1" x14ac:dyDescent="0.2">
      <c r="B31" s="137" t="s">
        <v>6</v>
      </c>
      <c r="C31" s="142">
        <v>0.1</v>
      </c>
      <c r="D31" s="142">
        <v>0.2</v>
      </c>
      <c r="E31" s="143">
        <v>0.05</v>
      </c>
      <c r="G31" s="161" t="s">
        <v>79</v>
      </c>
      <c r="H31" s="163">
        <v>0.8</v>
      </c>
      <c r="I31" s="165">
        <v>0.3</v>
      </c>
      <c r="J31" s="165">
        <v>0.5</v>
      </c>
      <c r="K31" s="166"/>
      <c r="L31" s="153"/>
      <c r="M31" s="153"/>
      <c r="N31" s="153"/>
    </row>
    <row r="32" spans="2:14" s="136" customFormat="1" x14ac:dyDescent="0.2">
      <c r="B32" s="137" t="s">
        <v>7</v>
      </c>
      <c r="C32" s="142">
        <v>0.3</v>
      </c>
      <c r="D32" s="142">
        <v>0.3</v>
      </c>
      <c r="E32" s="143">
        <v>0.7</v>
      </c>
      <c r="G32" s="154"/>
      <c r="H32" s="155"/>
      <c r="I32" s="156"/>
      <c r="J32" s="156"/>
      <c r="K32" s="166"/>
      <c r="L32" s="153"/>
      <c r="M32" s="153"/>
      <c r="N32" s="153"/>
    </row>
    <row r="33" spans="2:14" ht="17.25" customHeight="1" x14ac:dyDescent="0.2">
      <c r="B33" s="137" t="s">
        <v>8</v>
      </c>
      <c r="C33" s="142">
        <v>0.3</v>
      </c>
      <c r="D33" s="142">
        <v>0.3</v>
      </c>
      <c r="E33" s="143">
        <v>0.2</v>
      </c>
      <c r="G33" s="154"/>
      <c r="H33" s="162" t="s">
        <v>117</v>
      </c>
      <c r="I33" s="164" t="s">
        <v>115</v>
      </c>
      <c r="J33" s="164" t="s">
        <v>118</v>
      </c>
      <c r="K33" s="164" t="s">
        <v>119</v>
      </c>
      <c r="L33" s="157"/>
      <c r="M33" s="157"/>
      <c r="N33" s="157"/>
    </row>
    <row r="34" spans="2:14" x14ac:dyDescent="0.2">
      <c r="B34" s="140" t="s">
        <v>9</v>
      </c>
      <c r="C34" s="144">
        <v>0.1</v>
      </c>
      <c r="D34" s="144">
        <v>0.1</v>
      </c>
      <c r="E34" s="145">
        <v>0</v>
      </c>
      <c r="G34" s="160" t="s">
        <v>80</v>
      </c>
      <c r="H34" s="163">
        <v>0.4</v>
      </c>
      <c r="I34" s="165">
        <v>0.6</v>
      </c>
      <c r="J34" s="165">
        <v>0.3</v>
      </c>
      <c r="K34" s="165">
        <v>0.7</v>
      </c>
      <c r="L34" s="157"/>
      <c r="M34" s="157"/>
      <c r="N34" s="157"/>
    </row>
    <row r="35" spans="2:14" ht="15.75" customHeight="1" x14ac:dyDescent="0.2">
      <c r="B35" s="146" t="s">
        <v>112</v>
      </c>
      <c r="C35" s="147">
        <f>SUM(C30:C34)</f>
        <v>1.0000000000000002</v>
      </c>
      <c r="D35" s="148">
        <f>SUM(D30:D34)</f>
        <v>1.0000000000000002</v>
      </c>
      <c r="E35" s="149">
        <f>SUM(E30:E34)</f>
        <v>1</v>
      </c>
      <c r="K35" s="157"/>
      <c r="L35" s="157"/>
      <c r="M35" s="157"/>
      <c r="N35" s="157"/>
    </row>
    <row r="36" spans="2:14" x14ac:dyDescent="0.2">
      <c r="K36" s="157"/>
      <c r="L36" s="157"/>
      <c r="M36" s="157"/>
      <c r="N36" s="157"/>
    </row>
    <row r="37" spans="2:14" x14ac:dyDescent="0.2">
      <c r="B37" s="91"/>
      <c r="C37" s="116"/>
      <c r="D37" s="115"/>
      <c r="E37" s="115"/>
      <c r="F37" s="110"/>
      <c r="K37" s="157"/>
      <c r="L37" s="157"/>
      <c r="M37" s="157"/>
      <c r="N37" s="157"/>
    </row>
    <row r="38" spans="2:14" x14ac:dyDescent="0.2">
      <c r="B38" s="92"/>
      <c r="C38" s="117"/>
      <c r="D38" s="111"/>
      <c r="E38" s="111"/>
      <c r="F38" s="111"/>
      <c r="G38" s="111"/>
      <c r="H38" s="111"/>
      <c r="I38" s="111"/>
    </row>
    <row r="39" spans="2:14" x14ac:dyDescent="0.2">
      <c r="B39" s="92"/>
      <c r="C39" s="117"/>
      <c r="D39" s="111"/>
      <c r="E39" s="111"/>
      <c r="F39" s="111"/>
      <c r="G39" s="111"/>
      <c r="H39" s="111"/>
      <c r="I39" s="111"/>
    </row>
    <row r="40" spans="2:14" x14ac:dyDescent="0.2">
      <c r="B40" s="92"/>
      <c r="C40" s="117"/>
      <c r="D40" s="111"/>
      <c r="E40" s="111"/>
      <c r="F40" s="111"/>
      <c r="G40" s="111"/>
      <c r="H40" s="111"/>
      <c r="I40" s="111"/>
    </row>
  </sheetData>
  <mergeCells count="2">
    <mergeCell ref="B28:E28"/>
    <mergeCell ref="G28:J28"/>
  </mergeCells>
  <pageMargins left="0.7" right="0.7" top="0.75" bottom="0.75" header="0.3" footer="0.3"/>
  <pageSetup paperSize="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ensitivityAlloy">
                <anchor moveWithCells="1" sizeWithCells="1">
                  <from>
                    <xdr:col>11</xdr:col>
                    <xdr:colOff>482600</xdr:colOff>
                    <xdr:row>27</xdr:row>
                    <xdr:rowOff>101600</xdr:rowOff>
                  </from>
                  <to>
                    <xdr:col>14</xdr:col>
                    <xdr:colOff>635000</xdr:colOff>
                    <xdr:row>30</xdr:row>
                    <xdr:rowOff>0</xdr:rowOff>
                  </to>
                </anchor>
              </controlPr>
            </control>
          </mc:Choice>
          <mc:Fallback/>
        </mc:AlternateContent>
        <mc:AlternateContent xmlns:mc="http://schemas.openxmlformats.org/markup-compatibility/2006">
          <mc:Choice Requires="x14">
            <control shapeId="3074" r:id="rId5" name="Button 2">
              <controlPr defaultSize="0" print="0" autoFill="0" autoPict="0" macro="[0]!reset">
                <anchor moveWithCells="1" sizeWithCells="1">
                  <from>
                    <xdr:col>12</xdr:col>
                    <xdr:colOff>12700</xdr:colOff>
                    <xdr:row>31</xdr:row>
                    <xdr:rowOff>114300</xdr:rowOff>
                  </from>
                  <to>
                    <xdr:col>14</xdr:col>
                    <xdr:colOff>444500</xdr:colOff>
                    <xdr:row>33</xdr:row>
                    <xdr:rowOff>50800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enableFormatConditionsCalculation="0">
    <pageSetUpPr fitToPage="1"/>
  </sheetPr>
  <dimension ref="A1:Z53"/>
  <sheetViews>
    <sheetView showGridLines="0" zoomScale="86" zoomScaleNormal="86" zoomScalePageLayoutView="86" workbookViewId="0">
      <selection activeCell="E25" sqref="E25"/>
    </sheetView>
  </sheetViews>
  <sheetFormatPr baseColWidth="10" defaultColWidth="12.83203125" defaultRowHeight="16" x14ac:dyDescent="0.2"/>
  <cols>
    <col min="1" max="1" width="3.83203125" style="57" customWidth="1"/>
    <col min="2" max="2" width="24" style="57" bestFit="1" customWidth="1"/>
    <col min="3" max="3" width="28" style="57" bestFit="1" customWidth="1"/>
    <col min="4" max="4" width="12.33203125" style="57" bestFit="1" customWidth="1"/>
    <col min="5" max="5" width="12.33203125" style="122" bestFit="1" customWidth="1"/>
    <col min="6" max="6" width="9.33203125" style="122" bestFit="1" customWidth="1"/>
    <col min="7" max="8" width="9.33203125" style="57" bestFit="1" customWidth="1"/>
    <col min="9" max="11" width="4.6640625" style="57" bestFit="1" customWidth="1"/>
    <col min="12" max="12" width="12.33203125" style="57" bestFit="1" customWidth="1"/>
    <col min="13" max="15" width="7.83203125" style="57" bestFit="1" customWidth="1"/>
    <col min="16" max="16" width="9.33203125" style="57" bestFit="1" customWidth="1"/>
    <col min="17" max="17" width="12.33203125" style="57" bestFit="1" customWidth="1"/>
    <col min="18" max="18" width="6.6640625" style="57" bestFit="1" customWidth="1"/>
    <col min="19" max="19" width="4.6640625" style="57" bestFit="1" customWidth="1"/>
    <col min="20" max="20" width="12.33203125" style="57" bestFit="1" customWidth="1"/>
    <col min="21" max="22" width="4.6640625" style="57" bestFit="1" customWidth="1"/>
    <col min="23" max="23" width="5.6640625" style="57" bestFit="1" customWidth="1"/>
    <col min="24" max="24" width="12.1640625" style="167" bestFit="1" customWidth="1"/>
    <col min="25" max="25" width="3" style="57" bestFit="1" customWidth="1"/>
    <col min="26" max="26" width="9.33203125" style="167" bestFit="1" customWidth="1"/>
    <col min="27" max="16384" width="12.83203125" style="57"/>
  </cols>
  <sheetData>
    <row r="1" spans="1:26" s="56" customFormat="1" ht="18.75" x14ac:dyDescent="0.3">
      <c r="C1" s="195" t="s">
        <v>43</v>
      </c>
      <c r="D1" s="195"/>
      <c r="E1" s="195"/>
      <c r="F1" s="195"/>
      <c r="G1" s="195"/>
      <c r="H1" s="195"/>
      <c r="I1" s="195"/>
      <c r="J1" s="195"/>
      <c r="K1" s="195"/>
      <c r="L1" s="195"/>
      <c r="M1" s="195"/>
      <c r="N1" s="195"/>
      <c r="O1" s="195"/>
      <c r="P1" s="195"/>
      <c r="Q1" s="195"/>
      <c r="R1" s="195"/>
      <c r="S1" s="195"/>
      <c r="T1" s="195"/>
      <c r="U1" s="195"/>
      <c r="V1" s="195"/>
      <c r="W1" s="195"/>
      <c r="X1" s="195"/>
      <c r="Y1" s="195"/>
      <c r="Z1" s="195"/>
    </row>
    <row r="2" spans="1:26" x14ac:dyDescent="0.2">
      <c r="C2" s="58"/>
    </row>
    <row r="3" spans="1:26" x14ac:dyDescent="0.2">
      <c r="C3" s="59"/>
      <c r="D3" s="198" t="s">
        <v>0</v>
      </c>
      <c r="E3" s="199"/>
      <c r="F3" s="200" t="s">
        <v>12</v>
      </c>
      <c r="G3" s="201"/>
      <c r="H3" s="199"/>
    </row>
    <row r="4" spans="1:26" x14ac:dyDescent="0.2">
      <c r="D4" s="60">
        <v>50</v>
      </c>
      <c r="E4" s="61">
        <v>300</v>
      </c>
      <c r="F4" s="123">
        <v>30</v>
      </c>
      <c r="G4" s="62">
        <v>40</v>
      </c>
      <c r="H4" s="63">
        <v>50</v>
      </c>
    </row>
    <row r="5" spans="1:26" x14ac:dyDescent="0.2">
      <c r="C5" s="64"/>
      <c r="D5" s="65"/>
      <c r="E5" s="124"/>
      <c r="F5" s="124"/>
      <c r="G5" s="65"/>
      <c r="H5" s="65"/>
    </row>
    <row r="6" spans="1:26" ht="19" x14ac:dyDescent="0.25">
      <c r="D6" s="204" t="s">
        <v>47</v>
      </c>
      <c r="E6" s="204"/>
      <c r="F6" s="203" t="s">
        <v>45</v>
      </c>
      <c r="G6" s="203"/>
      <c r="H6" s="203"/>
      <c r="I6" s="202" t="s">
        <v>48</v>
      </c>
      <c r="J6" s="202"/>
      <c r="K6" s="202"/>
      <c r="L6" s="202"/>
      <c r="M6" s="202"/>
      <c r="N6" s="202"/>
      <c r="O6" s="202"/>
      <c r="P6" s="202"/>
      <c r="Q6" s="202"/>
      <c r="R6" s="202"/>
      <c r="S6" s="202" t="s">
        <v>46</v>
      </c>
      <c r="T6" s="202"/>
      <c r="U6" s="202"/>
      <c r="V6" s="202"/>
      <c r="W6" s="202"/>
    </row>
    <row r="7" spans="1:26" s="66" customFormat="1" ht="19" x14ac:dyDescent="0.25">
      <c r="D7" s="67" t="s">
        <v>13</v>
      </c>
      <c r="E7" s="68" t="s">
        <v>14</v>
      </c>
      <c r="F7" s="67" t="s">
        <v>15</v>
      </c>
      <c r="G7" s="69" t="s">
        <v>16</v>
      </c>
      <c r="H7" s="70" t="s">
        <v>17</v>
      </c>
      <c r="I7" s="71" t="s">
        <v>18</v>
      </c>
      <c r="J7" s="69" t="s">
        <v>19</v>
      </c>
      <c r="K7" s="69" t="s">
        <v>20</v>
      </c>
      <c r="L7" s="69" t="s">
        <v>21</v>
      </c>
      <c r="M7" s="69" t="s">
        <v>22</v>
      </c>
      <c r="N7" s="69" t="s">
        <v>23</v>
      </c>
      <c r="O7" s="69" t="s">
        <v>24</v>
      </c>
      <c r="P7" s="69" t="s">
        <v>25</v>
      </c>
      <c r="Q7" s="69" t="s">
        <v>26</v>
      </c>
      <c r="R7" s="72" t="s">
        <v>27</v>
      </c>
      <c r="S7" s="67" t="s">
        <v>28</v>
      </c>
      <c r="T7" s="69" t="s">
        <v>29</v>
      </c>
      <c r="U7" s="69" t="s">
        <v>30</v>
      </c>
      <c r="V7" s="69" t="s">
        <v>31</v>
      </c>
      <c r="W7" s="71" t="s">
        <v>32</v>
      </c>
      <c r="X7" s="168"/>
      <c r="Z7" s="178"/>
    </row>
    <row r="8" spans="1:26" ht="17" thickBot="1" x14ac:dyDescent="0.25">
      <c r="C8" s="54" t="s">
        <v>11</v>
      </c>
      <c r="D8" s="130">
        <v>1500.0000027000021</v>
      </c>
      <c r="E8" s="131">
        <v>2267.0967651432211</v>
      </c>
      <c r="F8" s="130">
        <v>1000</v>
      </c>
      <c r="G8" s="132">
        <v>2000</v>
      </c>
      <c r="H8" s="133">
        <v>3000</v>
      </c>
      <c r="I8" s="134">
        <v>0</v>
      </c>
      <c r="J8" s="132">
        <v>0</v>
      </c>
      <c r="K8" s="132">
        <v>0</v>
      </c>
      <c r="L8" s="132">
        <v>1500.0000027000021</v>
      </c>
      <c r="M8" s="132">
        <v>300.00000090000077</v>
      </c>
      <c r="N8" s="132">
        <v>550.00000201032788</v>
      </c>
      <c r="O8" s="132">
        <v>107.09826582367322</v>
      </c>
      <c r="P8" s="132">
        <v>1609.998496818547</v>
      </c>
      <c r="Q8" s="132">
        <v>0</v>
      </c>
      <c r="R8" s="135">
        <v>0</v>
      </c>
      <c r="S8" s="130">
        <v>0</v>
      </c>
      <c r="T8" s="132">
        <v>9.4698283503030746E-15</v>
      </c>
      <c r="U8" s="132">
        <v>0</v>
      </c>
      <c r="V8" s="132">
        <v>0</v>
      </c>
      <c r="W8" s="133">
        <v>0</v>
      </c>
      <c r="X8" s="196" t="s">
        <v>2</v>
      </c>
      <c r="Z8" s="196" t="s">
        <v>1</v>
      </c>
    </row>
    <row r="9" spans="1:26" ht="12" customHeight="1" x14ac:dyDescent="0.25">
      <c r="A9" s="20"/>
      <c r="B9" s="20"/>
      <c r="C9" s="50" t="s">
        <v>51</v>
      </c>
      <c r="D9" s="5"/>
      <c r="E9" s="5"/>
      <c r="F9" s="5"/>
      <c r="G9" s="5"/>
      <c r="H9" s="5"/>
      <c r="I9" s="5"/>
      <c r="J9" s="5"/>
      <c r="K9" s="5"/>
      <c r="L9" s="5"/>
      <c r="M9" s="5"/>
      <c r="N9" s="5"/>
      <c r="O9" s="5"/>
      <c r="P9" s="5"/>
      <c r="Q9" s="5"/>
      <c r="R9" s="5"/>
      <c r="S9" s="5"/>
      <c r="T9" s="5"/>
      <c r="U9" s="5"/>
      <c r="V9" s="5"/>
      <c r="W9" s="5"/>
      <c r="X9" s="197"/>
      <c r="Y9" s="73"/>
      <c r="Z9" s="197"/>
    </row>
    <row r="10" spans="1:26" x14ac:dyDescent="0.2">
      <c r="B10" s="74" t="s">
        <v>39</v>
      </c>
      <c r="C10" s="19" t="s">
        <v>40</v>
      </c>
      <c r="D10" s="42"/>
      <c r="E10" s="51"/>
      <c r="F10" s="42">
        <v>1</v>
      </c>
      <c r="G10" s="52"/>
      <c r="H10" s="43"/>
      <c r="I10" s="48"/>
      <c r="J10" s="52"/>
      <c r="K10" s="52"/>
      <c r="L10" s="52"/>
      <c r="M10" s="52"/>
      <c r="N10" s="52"/>
      <c r="O10" s="52"/>
      <c r="P10" s="52"/>
      <c r="Q10" s="52"/>
      <c r="R10" s="53"/>
      <c r="S10" s="42"/>
      <c r="T10" s="52"/>
      <c r="U10" s="52"/>
      <c r="V10" s="52"/>
      <c r="W10" s="53"/>
      <c r="X10" s="169">
        <f>SUMPRODUCT($D$8:$W$8,D10:W10)</f>
        <v>1000</v>
      </c>
      <c r="Y10" s="48" t="s">
        <v>3</v>
      </c>
      <c r="Z10" s="179">
        <v>1000</v>
      </c>
    </row>
    <row r="11" spans="1:26" x14ac:dyDescent="0.2">
      <c r="B11" s="19"/>
      <c r="C11" s="19" t="s">
        <v>41</v>
      </c>
      <c r="D11" s="7"/>
      <c r="E11" s="8"/>
      <c r="F11" s="7"/>
      <c r="G11" s="9">
        <v>1</v>
      </c>
      <c r="H11" s="10"/>
      <c r="I11" s="11"/>
      <c r="J11" s="9"/>
      <c r="K11" s="9"/>
      <c r="L11" s="9"/>
      <c r="M11" s="9"/>
      <c r="N11" s="9"/>
      <c r="O11" s="9"/>
      <c r="P11" s="9"/>
      <c r="Q11" s="9"/>
      <c r="R11" s="12"/>
      <c r="S11" s="7"/>
      <c r="T11" s="9"/>
      <c r="U11" s="9"/>
      <c r="V11" s="9"/>
      <c r="W11" s="12"/>
      <c r="X11" s="170">
        <f>SUMPRODUCT($D$8:$W$8,D11:W11)</f>
        <v>2000</v>
      </c>
      <c r="Y11" s="11" t="s">
        <v>3</v>
      </c>
      <c r="Z11" s="180">
        <v>2000</v>
      </c>
    </row>
    <row r="12" spans="1:26" x14ac:dyDescent="0.2">
      <c r="B12" s="19"/>
      <c r="C12" s="19" t="s">
        <v>42</v>
      </c>
      <c r="D12" s="13"/>
      <c r="E12" s="14"/>
      <c r="F12" s="13"/>
      <c r="G12" s="15"/>
      <c r="H12" s="16">
        <v>1</v>
      </c>
      <c r="I12" s="17"/>
      <c r="J12" s="15"/>
      <c r="K12" s="15"/>
      <c r="L12" s="15"/>
      <c r="M12" s="15"/>
      <c r="N12" s="15"/>
      <c r="O12" s="15"/>
      <c r="P12" s="15"/>
      <c r="Q12" s="15"/>
      <c r="R12" s="18"/>
      <c r="S12" s="13"/>
      <c r="T12" s="15"/>
      <c r="U12" s="15"/>
      <c r="V12" s="15"/>
      <c r="W12" s="18"/>
      <c r="X12" s="171">
        <f>SUMPRODUCT($D$8:$W$8,D12:W12)</f>
        <v>3000</v>
      </c>
      <c r="Y12" s="17" t="s">
        <v>3</v>
      </c>
      <c r="Z12" s="181">
        <v>3000</v>
      </c>
    </row>
    <row r="13" spans="1:26" x14ac:dyDescent="0.2">
      <c r="B13" s="19" t="s">
        <v>35</v>
      </c>
      <c r="C13" s="33" t="s">
        <v>4</v>
      </c>
      <c r="D13" s="42"/>
      <c r="E13" s="43"/>
      <c r="F13" s="75">
        <f>Instructions!C30</f>
        <v>0.2</v>
      </c>
      <c r="G13" s="76">
        <f>Instructions!D30</f>
        <v>0.1</v>
      </c>
      <c r="H13" s="77">
        <f>Instructions!E30</f>
        <v>0.05</v>
      </c>
      <c r="I13" s="5">
        <v>1</v>
      </c>
      <c r="J13" s="3"/>
      <c r="K13" s="3"/>
      <c r="L13" s="3"/>
      <c r="M13" s="3"/>
      <c r="N13" s="3">
        <v>1</v>
      </c>
      <c r="O13" s="3"/>
      <c r="P13" s="3"/>
      <c r="Q13" s="3"/>
      <c r="R13" s="6"/>
      <c r="S13" s="1">
        <v>1</v>
      </c>
      <c r="T13" s="3"/>
      <c r="U13" s="3"/>
      <c r="V13" s="3"/>
      <c r="W13" s="25"/>
      <c r="X13" s="172">
        <f>SUMPRODUCT($D$8:$H$8,D13:H13)</f>
        <v>550</v>
      </c>
      <c r="Y13" s="46" t="s">
        <v>5</v>
      </c>
      <c r="Z13" s="182">
        <f>SUMPRODUCT(I13:W13,$I$8:$W$8)</f>
        <v>550.00000201032788</v>
      </c>
    </row>
    <row r="14" spans="1:26" x14ac:dyDescent="0.2">
      <c r="B14" s="19"/>
      <c r="C14" s="33" t="s">
        <v>6</v>
      </c>
      <c r="D14" s="7"/>
      <c r="E14" s="10"/>
      <c r="F14" s="78">
        <f>Instructions!C31</f>
        <v>0.1</v>
      </c>
      <c r="G14" s="79">
        <f>Instructions!D31</f>
        <v>0.2</v>
      </c>
      <c r="H14" s="80">
        <f>Instructions!E31</f>
        <v>0.05</v>
      </c>
      <c r="I14" s="24"/>
      <c r="J14" s="22">
        <v>1</v>
      </c>
      <c r="K14" s="22"/>
      <c r="L14" s="22"/>
      <c r="M14" s="22"/>
      <c r="N14" s="22"/>
      <c r="O14" s="22">
        <v>1</v>
      </c>
      <c r="P14" s="22"/>
      <c r="Q14" s="22"/>
      <c r="R14" s="25"/>
      <c r="S14" s="21"/>
      <c r="T14" s="22">
        <v>1</v>
      </c>
      <c r="U14" s="22"/>
      <c r="V14" s="22"/>
      <c r="W14" s="25"/>
      <c r="X14" s="173">
        <f t="shared" ref="X14:X17" si="0">SUMPRODUCT($D$8:$H$8,D14:H14)</f>
        <v>650</v>
      </c>
      <c r="Y14" s="26" t="s">
        <v>5</v>
      </c>
      <c r="Z14" s="183">
        <f>SUMPRODUCT(I14:W14,$I$8:$W$8)</f>
        <v>107.09826582367323</v>
      </c>
    </row>
    <row r="15" spans="1:26" x14ac:dyDescent="0.2">
      <c r="B15" s="19"/>
      <c r="C15" s="33" t="s">
        <v>7</v>
      </c>
      <c r="D15" s="7"/>
      <c r="E15" s="10"/>
      <c r="F15" s="78">
        <f>Instructions!C32</f>
        <v>0.3</v>
      </c>
      <c r="G15" s="79">
        <f>Instructions!D32</f>
        <v>0.3</v>
      </c>
      <c r="H15" s="80">
        <f>Instructions!E32</f>
        <v>0.7</v>
      </c>
      <c r="I15" s="24"/>
      <c r="J15" s="22"/>
      <c r="K15" s="22">
        <v>1</v>
      </c>
      <c r="L15" s="22"/>
      <c r="M15" s="22"/>
      <c r="N15" s="22"/>
      <c r="O15" s="22"/>
      <c r="P15" s="22">
        <v>1</v>
      </c>
      <c r="Q15" s="22"/>
      <c r="R15" s="25"/>
      <c r="S15" s="21"/>
      <c r="T15" s="22"/>
      <c r="U15" s="22">
        <v>1</v>
      </c>
      <c r="V15" s="22"/>
      <c r="W15" s="25"/>
      <c r="X15" s="173">
        <f t="shared" si="0"/>
        <v>3000</v>
      </c>
      <c r="Y15" s="26" t="s">
        <v>5</v>
      </c>
      <c r="Z15" s="183">
        <f>SUMPRODUCT(I15:W15,$I$8:$W$8)</f>
        <v>1609.998496818547</v>
      </c>
    </row>
    <row r="16" spans="1:26" x14ac:dyDescent="0.2">
      <c r="B16" s="19"/>
      <c r="C16" s="33" t="s">
        <v>8</v>
      </c>
      <c r="D16" s="7"/>
      <c r="E16" s="10"/>
      <c r="F16" s="78">
        <f>Instructions!C33</f>
        <v>0.3</v>
      </c>
      <c r="G16" s="79">
        <f>Instructions!D33</f>
        <v>0.3</v>
      </c>
      <c r="H16" s="80">
        <f>Instructions!E33</f>
        <v>0.2</v>
      </c>
      <c r="I16" s="24"/>
      <c r="J16" s="22"/>
      <c r="K16" s="22"/>
      <c r="L16" s="22">
        <v>1</v>
      </c>
      <c r="M16" s="22"/>
      <c r="N16" s="22"/>
      <c r="O16" s="22"/>
      <c r="P16" s="22"/>
      <c r="Q16" s="22">
        <v>1</v>
      </c>
      <c r="R16" s="25"/>
      <c r="S16" s="21"/>
      <c r="T16" s="22"/>
      <c r="U16" s="22"/>
      <c r="V16" s="22">
        <v>1</v>
      </c>
      <c r="W16" s="25"/>
      <c r="X16" s="173">
        <f t="shared" si="0"/>
        <v>1500</v>
      </c>
      <c r="Y16" s="26" t="s">
        <v>5</v>
      </c>
      <c r="Z16" s="183">
        <f>SUMPRODUCT(I16:W16,$I$8:$W$8)</f>
        <v>1500.0000027000021</v>
      </c>
    </row>
    <row r="17" spans="2:26" x14ac:dyDescent="0.2">
      <c r="B17" s="19"/>
      <c r="C17" s="33" t="s">
        <v>9</v>
      </c>
      <c r="D17" s="44"/>
      <c r="E17" s="45"/>
      <c r="F17" s="81">
        <f>Instructions!C34</f>
        <v>0.1</v>
      </c>
      <c r="G17" s="82">
        <f>Instructions!D34</f>
        <v>0.1</v>
      </c>
      <c r="H17" s="83">
        <f>Instructions!E34</f>
        <v>0</v>
      </c>
      <c r="I17" s="30"/>
      <c r="J17" s="28"/>
      <c r="K17" s="28"/>
      <c r="L17" s="28"/>
      <c r="M17" s="28">
        <v>1</v>
      </c>
      <c r="N17" s="28"/>
      <c r="O17" s="28"/>
      <c r="P17" s="28"/>
      <c r="Q17" s="28"/>
      <c r="R17" s="31">
        <v>1</v>
      </c>
      <c r="S17" s="27"/>
      <c r="T17" s="37"/>
      <c r="U17" s="37"/>
      <c r="V17" s="37"/>
      <c r="W17" s="40">
        <v>1</v>
      </c>
      <c r="X17" s="174">
        <f t="shared" si="0"/>
        <v>300</v>
      </c>
      <c r="Y17" s="41" t="s">
        <v>5</v>
      </c>
      <c r="Z17" s="184">
        <f>SUMPRODUCT(I17:W17,$I$8:$W$8)</f>
        <v>300.00000090000077</v>
      </c>
    </row>
    <row r="18" spans="2:26" x14ac:dyDescent="0.2">
      <c r="B18" s="19" t="s">
        <v>34</v>
      </c>
      <c r="C18" s="19" t="s">
        <v>49</v>
      </c>
      <c r="D18" s="75">
        <f>Instructions!H31</f>
        <v>0.8</v>
      </c>
      <c r="E18" s="84"/>
      <c r="F18" s="1"/>
      <c r="G18" s="3"/>
      <c r="H18" s="4"/>
      <c r="I18" s="5">
        <v>1</v>
      </c>
      <c r="J18" s="3"/>
      <c r="K18" s="3"/>
      <c r="L18" s="3"/>
      <c r="M18" s="3"/>
      <c r="N18" s="3"/>
      <c r="O18" s="3"/>
      <c r="P18" s="3"/>
      <c r="Q18" s="3"/>
      <c r="R18" s="6"/>
      <c r="S18" s="1"/>
      <c r="T18" s="3"/>
      <c r="U18" s="3"/>
      <c r="V18" s="3"/>
      <c r="W18" s="49"/>
      <c r="X18" s="175">
        <f>SUMPRODUCT($F$8:$R$8,F18:R18)</f>
        <v>0</v>
      </c>
      <c r="Y18" s="47" t="s">
        <v>3</v>
      </c>
      <c r="Z18" s="185">
        <f>SUMPRODUCT($D$8:$E$8,D18:E18)</f>
        <v>1200.0000021600017</v>
      </c>
    </row>
    <row r="19" spans="2:26" x14ac:dyDescent="0.2">
      <c r="B19" s="19"/>
      <c r="C19" s="19" t="s">
        <v>36</v>
      </c>
      <c r="D19" s="78">
        <f>Instructions!I31</f>
        <v>0.3</v>
      </c>
      <c r="E19" s="85"/>
      <c r="F19" s="21"/>
      <c r="G19" s="22"/>
      <c r="H19" s="23"/>
      <c r="I19" s="24"/>
      <c r="J19" s="22">
        <v>1</v>
      </c>
      <c r="K19" s="22"/>
      <c r="L19" s="22"/>
      <c r="M19" s="22"/>
      <c r="N19" s="22"/>
      <c r="O19" s="22"/>
      <c r="P19" s="22"/>
      <c r="Q19" s="22"/>
      <c r="R19" s="25"/>
      <c r="S19" s="21"/>
      <c r="T19" s="22"/>
      <c r="U19" s="22"/>
      <c r="V19" s="22"/>
      <c r="W19" s="25"/>
      <c r="X19" s="173">
        <f>SUMPRODUCT($F$8:$R$8,F19:R19)</f>
        <v>0</v>
      </c>
      <c r="Y19" s="26" t="s">
        <v>3</v>
      </c>
      <c r="Z19" s="183">
        <f>SUMPRODUCT($D$8:$E$8,D19:E19)</f>
        <v>450.00000081000064</v>
      </c>
    </row>
    <row r="20" spans="2:26" x14ac:dyDescent="0.2">
      <c r="B20" s="19"/>
      <c r="C20" s="19" t="s">
        <v>37</v>
      </c>
      <c r="D20" s="78">
        <f>Instructions!J31</f>
        <v>0.5</v>
      </c>
      <c r="E20" s="85"/>
      <c r="F20" s="21"/>
      <c r="G20" s="22"/>
      <c r="H20" s="23"/>
      <c r="I20" s="24"/>
      <c r="J20" s="22"/>
      <c r="K20" s="22"/>
      <c r="L20" s="22">
        <v>1</v>
      </c>
      <c r="M20" s="22"/>
      <c r="N20" s="22"/>
      <c r="O20" s="22"/>
      <c r="P20" s="22"/>
      <c r="Q20" s="22"/>
      <c r="R20" s="25"/>
      <c r="S20" s="21"/>
      <c r="T20" s="22"/>
      <c r="U20" s="22"/>
      <c r="V20" s="22"/>
      <c r="W20" s="25"/>
      <c r="X20" s="173">
        <f t="shared" ref="X20:X26" si="1">SUMPRODUCT($F$8:$R$8,F20:R20)</f>
        <v>1500.0000027000021</v>
      </c>
      <c r="Y20" s="26" t="s">
        <v>10</v>
      </c>
      <c r="Z20" s="183">
        <f t="shared" ref="Z20:Z26" si="2">SUMPRODUCT($D$8:$E$8,D20:E20)</f>
        <v>750.00000135000107</v>
      </c>
    </row>
    <row r="21" spans="2:26" x14ac:dyDescent="0.2">
      <c r="B21" s="19"/>
      <c r="C21" s="19" t="s">
        <v>36</v>
      </c>
      <c r="D21" s="78"/>
      <c r="E21" s="85">
        <f>Instructions!H34</f>
        <v>0.4</v>
      </c>
      <c r="F21" s="21"/>
      <c r="G21" s="22"/>
      <c r="H21" s="23"/>
      <c r="I21" s="24"/>
      <c r="J21" s="22"/>
      <c r="K21" s="22"/>
      <c r="L21" s="22"/>
      <c r="M21" s="22"/>
      <c r="N21" s="22"/>
      <c r="O21" s="22">
        <v>1</v>
      </c>
      <c r="P21" s="22"/>
      <c r="Q21" s="22"/>
      <c r="R21" s="25"/>
      <c r="S21" s="21"/>
      <c r="T21" s="22"/>
      <c r="U21" s="22"/>
      <c r="V21" s="22"/>
      <c r="W21" s="25"/>
      <c r="X21" s="173">
        <f t="shared" si="1"/>
        <v>107.09826582367322</v>
      </c>
      <c r="Y21" s="26" t="s">
        <v>10</v>
      </c>
      <c r="Z21" s="183">
        <f t="shared" si="2"/>
        <v>906.8387060572885</v>
      </c>
    </row>
    <row r="22" spans="2:26" x14ac:dyDescent="0.2">
      <c r="B22" s="19"/>
      <c r="C22" s="19" t="s">
        <v>36</v>
      </c>
      <c r="D22" s="78"/>
      <c r="E22" s="85">
        <f>Instructions!I34</f>
        <v>0.6</v>
      </c>
      <c r="F22" s="21"/>
      <c r="G22" s="22"/>
      <c r="H22" s="23"/>
      <c r="I22" s="24"/>
      <c r="J22" s="22"/>
      <c r="K22" s="22"/>
      <c r="L22" s="22"/>
      <c r="M22" s="22"/>
      <c r="N22" s="22"/>
      <c r="O22" s="22">
        <v>1</v>
      </c>
      <c r="P22" s="22"/>
      <c r="Q22" s="22"/>
      <c r="R22" s="25"/>
      <c r="S22" s="21"/>
      <c r="T22" s="22"/>
      <c r="U22" s="22"/>
      <c r="V22" s="22"/>
      <c r="W22" s="25"/>
      <c r="X22" s="173">
        <f t="shared" si="1"/>
        <v>107.09826582367322</v>
      </c>
      <c r="Y22" s="26" t="s">
        <v>3</v>
      </c>
      <c r="Z22" s="183">
        <f>SUMPRODUCT($D$8:$E$8,D22:E22)</f>
        <v>1360.2580590859327</v>
      </c>
    </row>
    <row r="23" spans="2:26" x14ac:dyDescent="0.2">
      <c r="B23" s="19"/>
      <c r="C23" s="19" t="s">
        <v>38</v>
      </c>
      <c r="D23" s="78"/>
      <c r="E23" s="85">
        <f>Instructions!J34</f>
        <v>0.3</v>
      </c>
      <c r="F23" s="21"/>
      <c r="G23" s="22"/>
      <c r="H23" s="23"/>
      <c r="I23" s="24"/>
      <c r="J23" s="22"/>
      <c r="K23" s="22"/>
      <c r="L23" s="22"/>
      <c r="M23" s="22"/>
      <c r="N23" s="22"/>
      <c r="O23" s="22"/>
      <c r="P23" s="22">
        <v>1</v>
      </c>
      <c r="Q23" s="22"/>
      <c r="R23" s="25"/>
      <c r="S23" s="21"/>
      <c r="T23" s="22"/>
      <c r="U23" s="22"/>
      <c r="V23" s="22"/>
      <c r="W23" s="25"/>
      <c r="X23" s="173">
        <f t="shared" si="1"/>
        <v>1609.998496818547</v>
      </c>
      <c r="Y23" s="26" t="s">
        <v>10</v>
      </c>
      <c r="Z23" s="183">
        <f t="shared" si="2"/>
        <v>680.12902954296635</v>
      </c>
    </row>
    <row r="24" spans="2:26" x14ac:dyDescent="0.2">
      <c r="B24" s="19"/>
      <c r="C24" s="19" t="s">
        <v>37</v>
      </c>
      <c r="D24" s="81"/>
      <c r="E24" s="86">
        <f>Instructions!K34</f>
        <v>0.7</v>
      </c>
      <c r="F24" s="27"/>
      <c r="G24" s="28"/>
      <c r="H24" s="29"/>
      <c r="I24" s="30"/>
      <c r="J24" s="28"/>
      <c r="K24" s="28"/>
      <c r="L24" s="28"/>
      <c r="M24" s="28"/>
      <c r="N24" s="28"/>
      <c r="O24" s="28"/>
      <c r="P24" s="28"/>
      <c r="Q24" s="28">
        <v>1</v>
      </c>
      <c r="R24" s="31"/>
      <c r="S24" s="27"/>
      <c r="T24" s="28"/>
      <c r="U24" s="28"/>
      <c r="V24" s="28"/>
      <c r="W24" s="31"/>
      <c r="X24" s="176">
        <f t="shared" si="1"/>
        <v>0</v>
      </c>
      <c r="Y24" s="32" t="s">
        <v>3</v>
      </c>
      <c r="Z24" s="186">
        <f t="shared" si="2"/>
        <v>1586.9677356002546</v>
      </c>
    </row>
    <row r="25" spans="2:26" x14ac:dyDescent="0.2">
      <c r="B25" s="19" t="s">
        <v>33</v>
      </c>
      <c r="D25" s="1">
        <v>1</v>
      </c>
      <c r="E25" s="2"/>
      <c r="F25" s="1"/>
      <c r="G25" s="3"/>
      <c r="H25" s="4"/>
      <c r="I25" s="5">
        <v>1</v>
      </c>
      <c r="J25" s="3">
        <v>1</v>
      </c>
      <c r="K25" s="3">
        <v>1</v>
      </c>
      <c r="L25" s="3">
        <v>1</v>
      </c>
      <c r="M25" s="3"/>
      <c r="N25" s="3"/>
      <c r="O25" s="3"/>
      <c r="P25" s="3"/>
      <c r="Q25" s="3"/>
      <c r="R25" s="6"/>
      <c r="S25" s="1"/>
      <c r="T25" s="3"/>
      <c r="U25" s="3"/>
      <c r="V25" s="3"/>
      <c r="W25" s="6"/>
      <c r="X25" s="177">
        <f>SUMPRODUCT($F$8:$R$8,F25:R25)</f>
        <v>1500.0000027000021</v>
      </c>
      <c r="Y25" s="34" t="s">
        <v>5</v>
      </c>
      <c r="Z25" s="187">
        <f t="shared" si="2"/>
        <v>1500.0000027000021</v>
      </c>
    </row>
    <row r="26" spans="2:26" x14ac:dyDescent="0.2">
      <c r="B26" s="19"/>
      <c r="C26" s="19"/>
      <c r="D26" s="35"/>
      <c r="E26" s="36">
        <v>1</v>
      </c>
      <c r="F26" s="35"/>
      <c r="G26" s="37"/>
      <c r="H26" s="38"/>
      <c r="I26" s="39"/>
      <c r="J26" s="37"/>
      <c r="K26" s="37"/>
      <c r="L26" s="37"/>
      <c r="M26" s="37"/>
      <c r="N26" s="37">
        <v>1</v>
      </c>
      <c r="O26" s="37">
        <v>1</v>
      </c>
      <c r="P26" s="37">
        <v>1</v>
      </c>
      <c r="Q26" s="37">
        <v>1</v>
      </c>
      <c r="R26" s="40"/>
      <c r="S26" s="35"/>
      <c r="T26" s="37"/>
      <c r="U26" s="37"/>
      <c r="V26" s="37"/>
      <c r="W26" s="40"/>
      <c r="X26" s="174">
        <f t="shared" si="1"/>
        <v>2267.0967646525478</v>
      </c>
      <c r="Y26" s="41" t="s">
        <v>5</v>
      </c>
      <c r="Z26" s="184">
        <f t="shared" si="2"/>
        <v>2267.0967651432211</v>
      </c>
    </row>
    <row r="28" spans="2:26" ht="17" thickBot="1" x14ac:dyDescent="0.25">
      <c r="C28" s="55" t="s">
        <v>44</v>
      </c>
      <c r="D28" s="107">
        <f>SUMPRODUCT(D8:E8,D4:E4)-SUMPRODUCT(F4:H4,F8:H8)</f>
        <v>495129.02967796638</v>
      </c>
      <c r="E28" s="127"/>
      <c r="Y28" s="87"/>
    </row>
    <row r="29" spans="2:26" x14ac:dyDescent="0.2">
      <c r="Y29" s="87"/>
    </row>
    <row r="30" spans="2:26" x14ac:dyDescent="0.2">
      <c r="B30" s="150" t="s">
        <v>52</v>
      </c>
      <c r="C30" s="150"/>
      <c r="D30" s="150"/>
      <c r="E30" s="150"/>
      <c r="F30" s="150"/>
      <c r="G30" s="150"/>
      <c r="H30" s="150"/>
      <c r="I30" s="150"/>
      <c r="Y30" s="87"/>
    </row>
    <row r="31" spans="2:26" x14ac:dyDescent="0.2">
      <c r="B31" s="74" t="s">
        <v>50</v>
      </c>
      <c r="C31" s="88" t="s">
        <v>82</v>
      </c>
      <c r="E31" s="128"/>
      <c r="F31" s="129"/>
      <c r="Y31" s="87"/>
    </row>
    <row r="32" spans="2:26" x14ac:dyDescent="0.2">
      <c r="B32" s="74" t="s">
        <v>53</v>
      </c>
      <c r="C32" s="88" t="s">
        <v>83</v>
      </c>
      <c r="E32" s="128"/>
      <c r="F32" s="129"/>
    </row>
    <row r="33" spans="2:10" x14ac:dyDescent="0.2">
      <c r="B33" s="74" t="s">
        <v>54</v>
      </c>
      <c r="C33" s="88" t="s">
        <v>84</v>
      </c>
      <c r="E33" s="128"/>
      <c r="F33" s="129"/>
      <c r="J33" s="74"/>
    </row>
    <row r="34" spans="2:10" x14ac:dyDescent="0.2">
      <c r="B34" s="74" t="s">
        <v>55</v>
      </c>
      <c r="C34" s="88" t="s">
        <v>85</v>
      </c>
      <c r="E34" s="128"/>
      <c r="F34" s="126"/>
    </row>
    <row r="35" spans="2:10" x14ac:dyDescent="0.2">
      <c r="B35" s="74" t="s">
        <v>56</v>
      </c>
      <c r="C35" s="88" t="s">
        <v>86</v>
      </c>
      <c r="E35" s="128"/>
      <c r="F35" s="126"/>
    </row>
    <row r="36" spans="2:10" x14ac:dyDescent="0.2">
      <c r="B36" s="74" t="s">
        <v>57</v>
      </c>
      <c r="C36" s="88" t="s">
        <v>87</v>
      </c>
      <c r="E36" s="128"/>
      <c r="F36" s="126"/>
    </row>
    <row r="37" spans="2:10" x14ac:dyDescent="0.2">
      <c r="B37" s="74" t="s">
        <v>58</v>
      </c>
      <c r="C37" s="88" t="s">
        <v>88</v>
      </c>
      <c r="E37" s="125"/>
    </row>
    <row r="38" spans="2:10" x14ac:dyDescent="0.2">
      <c r="B38" s="74" t="s">
        <v>59</v>
      </c>
      <c r="C38" s="88" t="s">
        <v>89</v>
      </c>
      <c r="E38" s="125"/>
    </row>
    <row r="39" spans="2:10" x14ac:dyDescent="0.2">
      <c r="B39" s="74" t="s">
        <v>60</v>
      </c>
      <c r="C39" s="88" t="s">
        <v>90</v>
      </c>
      <c r="E39" s="125"/>
    </row>
    <row r="40" spans="2:10" x14ac:dyDescent="0.2">
      <c r="B40" s="74" t="s">
        <v>61</v>
      </c>
      <c r="C40" s="88" t="s">
        <v>91</v>
      </c>
      <c r="E40" s="125"/>
    </row>
    <row r="41" spans="2:10" x14ac:dyDescent="0.2">
      <c r="B41" s="74" t="s">
        <v>62</v>
      </c>
      <c r="C41" s="88" t="s">
        <v>92</v>
      </c>
      <c r="E41" s="125"/>
    </row>
    <row r="42" spans="2:10" x14ac:dyDescent="0.2">
      <c r="B42" s="74" t="s">
        <v>63</v>
      </c>
      <c r="C42" s="88" t="s">
        <v>93</v>
      </c>
    </row>
    <row r="43" spans="2:10" x14ac:dyDescent="0.2">
      <c r="B43" s="74" t="s">
        <v>64</v>
      </c>
      <c r="C43" s="88" t="s">
        <v>94</v>
      </c>
    </row>
    <row r="44" spans="2:10" x14ac:dyDescent="0.2">
      <c r="B44" s="74" t="s">
        <v>65</v>
      </c>
      <c r="C44" s="88" t="s">
        <v>95</v>
      </c>
    </row>
    <row r="45" spans="2:10" x14ac:dyDescent="0.2">
      <c r="B45" s="74" t="s">
        <v>66</v>
      </c>
      <c r="C45" s="88" t="s">
        <v>96</v>
      </c>
    </row>
    <row r="46" spans="2:10" x14ac:dyDescent="0.2">
      <c r="B46" s="74" t="s">
        <v>67</v>
      </c>
      <c r="C46" s="88" t="s">
        <v>97</v>
      </c>
    </row>
    <row r="47" spans="2:10" x14ac:dyDescent="0.2">
      <c r="B47" s="74" t="s">
        <v>68</v>
      </c>
      <c r="C47" s="88" t="s">
        <v>98</v>
      </c>
    </row>
    <row r="48" spans="2:10" x14ac:dyDescent="0.2">
      <c r="B48" s="74" t="s">
        <v>69</v>
      </c>
      <c r="C48" s="88" t="s">
        <v>99</v>
      </c>
    </row>
    <row r="49" spans="2:3" x14ac:dyDescent="0.2">
      <c r="B49" s="74" t="s">
        <v>70</v>
      </c>
      <c r="C49" s="88" t="s">
        <v>100</v>
      </c>
    </row>
    <row r="50" spans="2:3" x14ac:dyDescent="0.2">
      <c r="B50" s="74" t="s">
        <v>71</v>
      </c>
      <c r="C50" s="88" t="s">
        <v>101</v>
      </c>
    </row>
    <row r="51" spans="2:3" x14ac:dyDescent="0.2">
      <c r="B51" s="74" t="s">
        <v>72</v>
      </c>
      <c r="C51" s="88" t="s">
        <v>102</v>
      </c>
    </row>
    <row r="52" spans="2:3" x14ac:dyDescent="0.2">
      <c r="B52" s="74" t="s">
        <v>73</v>
      </c>
      <c r="C52" s="88" t="s">
        <v>103</v>
      </c>
    </row>
    <row r="53" spans="2:3" x14ac:dyDescent="0.2">
      <c r="C53" s="88"/>
    </row>
  </sheetData>
  <mergeCells count="9">
    <mergeCell ref="C1:Z1"/>
    <mergeCell ref="Z8:Z9"/>
    <mergeCell ref="D3:E3"/>
    <mergeCell ref="F3:H3"/>
    <mergeCell ref="X8:X9"/>
    <mergeCell ref="S6:W6"/>
    <mergeCell ref="I6:R6"/>
    <mergeCell ref="F6:H6"/>
    <mergeCell ref="D6:E6"/>
  </mergeCells>
  <phoneticPr fontId="7" type="noConversion"/>
  <pageMargins left="0" right="0" top="1" bottom="1" header="0.5" footer="0.5"/>
  <pageSetup scale="61" orientation="landscape" horizontalDpi="4294967292" verticalDpi="4294967292" r:id="rId1"/>
  <ignoredErrors>
    <ignoredError sqref="Z14:Z16 Z17"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Sensitivity" enableFormatConditionsCalculation="0"/>
  <dimension ref="A1:W559"/>
  <sheetViews>
    <sheetView showGridLines="0" workbookViewId="0">
      <selection activeCell="D19" sqref="D19"/>
    </sheetView>
  </sheetViews>
  <sheetFormatPr baseColWidth="10" defaultColWidth="8.83203125" defaultRowHeight="16" x14ac:dyDescent="0.2"/>
  <cols>
    <col min="1" max="1" width="18.33203125" style="90" customWidth="1"/>
    <col min="2" max="2" width="12.33203125" style="110" bestFit="1" customWidth="1"/>
    <col min="3" max="3" width="11.33203125" style="110" bestFit="1" customWidth="1"/>
    <col min="4" max="4" width="11.1640625" style="110" bestFit="1" customWidth="1"/>
    <col min="5" max="6" width="10.6640625" style="110" bestFit="1" customWidth="1"/>
    <col min="7" max="7" width="10.6640625" style="109" bestFit="1" customWidth="1"/>
    <col min="8" max="8" width="2.6640625" style="90" customWidth="1"/>
    <col min="9" max="9" width="7" style="90" bestFit="1" customWidth="1"/>
    <col min="10" max="10" width="6.33203125" style="90" bestFit="1" customWidth="1"/>
    <col min="11" max="11" width="8.6640625" style="90" customWidth="1"/>
    <col min="12" max="12" width="8.83203125" style="90" customWidth="1"/>
    <col min="13" max="13" width="8.6640625" style="90" customWidth="1"/>
    <col min="14" max="14" width="10.6640625" style="90" bestFit="1" customWidth="1"/>
    <col min="15" max="15" width="7" style="90" bestFit="1" customWidth="1"/>
    <col min="16" max="16" width="15.6640625" style="90" bestFit="1" customWidth="1"/>
    <col min="17" max="18" width="16.1640625" style="90" bestFit="1" customWidth="1"/>
    <col min="19" max="19" width="14.5" style="90" bestFit="1" customWidth="1"/>
    <col min="20" max="23" width="5.83203125" style="90" bestFit="1" customWidth="1"/>
    <col min="24" max="16384" width="8.83203125" style="90"/>
  </cols>
  <sheetData>
    <row r="1" spans="1:9" x14ac:dyDescent="0.2">
      <c r="A1" s="89" t="s">
        <v>120</v>
      </c>
      <c r="B1" s="115"/>
      <c r="C1" s="115"/>
      <c r="D1" s="115"/>
      <c r="G1" s="108"/>
      <c r="I1" s="100"/>
    </row>
    <row r="2" spans="1:9" x14ac:dyDescent="0.2">
      <c r="C2" s="115"/>
      <c r="D2" s="115"/>
    </row>
    <row r="3" spans="1:9" x14ac:dyDescent="0.2">
      <c r="A3" s="91" t="s">
        <v>121</v>
      </c>
      <c r="B3" s="116" t="s">
        <v>50</v>
      </c>
      <c r="C3" s="115" t="s">
        <v>75</v>
      </c>
      <c r="D3" s="115" t="s">
        <v>74</v>
      </c>
      <c r="E3" s="110" t="s">
        <v>76</v>
      </c>
      <c r="F3" s="110" t="s">
        <v>77</v>
      </c>
      <c r="G3" s="110" t="s">
        <v>78</v>
      </c>
    </row>
    <row r="4" spans="1:9" x14ac:dyDescent="0.2">
      <c r="A4" s="92">
        <v>2</v>
      </c>
      <c r="B4" s="117">
        <v>428798.9376</v>
      </c>
      <c r="C4" s="111">
        <v>1500.0000027000021</v>
      </c>
      <c r="D4" s="111">
        <v>2285.9964586214314</v>
      </c>
      <c r="E4" s="111">
        <v>1000</v>
      </c>
      <c r="F4" s="111">
        <v>2000</v>
      </c>
      <c r="G4" s="111">
        <v>3000</v>
      </c>
    </row>
    <row r="5" spans="1:9" x14ac:dyDescent="0.2">
      <c r="A5" s="92">
        <v>7</v>
      </c>
      <c r="B5" s="117">
        <v>430629.02960000001</v>
      </c>
      <c r="C5" s="111">
        <v>1500.0000027000021</v>
      </c>
      <c r="D5" s="111">
        <v>2267.0967651432211</v>
      </c>
      <c r="E5" s="111">
        <v>1000</v>
      </c>
      <c r="F5" s="111">
        <v>2000</v>
      </c>
      <c r="G5" s="111">
        <v>3000</v>
      </c>
      <c r="H5" s="94"/>
    </row>
    <row r="6" spans="1:9" x14ac:dyDescent="0.2">
      <c r="A6" s="92">
        <v>12</v>
      </c>
      <c r="B6" s="117">
        <v>438129.02960000001</v>
      </c>
      <c r="C6" s="111">
        <v>1500.0000027000021</v>
      </c>
      <c r="D6" s="111">
        <v>2267.0967651432211</v>
      </c>
      <c r="E6" s="111">
        <v>1000</v>
      </c>
      <c r="F6" s="111">
        <v>2000</v>
      </c>
      <c r="G6" s="111">
        <v>3000</v>
      </c>
    </row>
    <row r="7" spans="1:9" x14ac:dyDescent="0.2">
      <c r="A7" s="92">
        <v>17</v>
      </c>
      <c r="B7" s="117">
        <v>445629.02960000001</v>
      </c>
      <c r="C7" s="111">
        <v>1500.0000027000021</v>
      </c>
      <c r="D7" s="111">
        <v>2267.0967651432211</v>
      </c>
      <c r="E7" s="111">
        <v>1000</v>
      </c>
      <c r="F7" s="111">
        <v>2000</v>
      </c>
      <c r="G7" s="111">
        <v>3000</v>
      </c>
    </row>
    <row r="8" spans="1:9" x14ac:dyDescent="0.2">
      <c r="A8" s="92">
        <v>22</v>
      </c>
      <c r="B8" s="117">
        <v>453129.02960000001</v>
      </c>
      <c r="C8" s="111">
        <v>1500.0000027000021</v>
      </c>
      <c r="D8" s="111">
        <v>2267.0967651432211</v>
      </c>
      <c r="E8" s="111">
        <v>1000</v>
      </c>
      <c r="F8" s="111">
        <v>2000</v>
      </c>
      <c r="G8" s="111">
        <v>3000</v>
      </c>
    </row>
    <row r="9" spans="1:9" x14ac:dyDescent="0.2">
      <c r="A9" s="92">
        <v>27</v>
      </c>
      <c r="B9" s="117">
        <v>460629.02960000001</v>
      </c>
      <c r="C9" s="111">
        <v>1500.0000027000021</v>
      </c>
      <c r="D9" s="111">
        <v>2267.0967651432211</v>
      </c>
      <c r="E9" s="111">
        <v>1000</v>
      </c>
      <c r="F9" s="111">
        <v>2000</v>
      </c>
      <c r="G9" s="111">
        <v>3000</v>
      </c>
      <c r="H9" s="95"/>
    </row>
    <row r="10" spans="1:9" x14ac:dyDescent="0.2">
      <c r="A10" s="92">
        <v>32</v>
      </c>
      <c r="B10" s="117">
        <v>468129.02960000001</v>
      </c>
      <c r="C10" s="111">
        <v>1500.0000027000021</v>
      </c>
      <c r="D10" s="111">
        <v>2267.0967651432211</v>
      </c>
      <c r="E10" s="111">
        <v>1000</v>
      </c>
      <c r="F10" s="111">
        <v>2000</v>
      </c>
      <c r="G10" s="111">
        <v>3000</v>
      </c>
    </row>
    <row r="11" spans="1:9" x14ac:dyDescent="0.2">
      <c r="A11" s="92">
        <v>37</v>
      </c>
      <c r="B11" s="117">
        <v>475629.02960000001</v>
      </c>
      <c r="C11" s="111">
        <v>1500.0000027000021</v>
      </c>
      <c r="D11" s="111">
        <v>2267.0967651432211</v>
      </c>
      <c r="E11" s="111">
        <v>1000</v>
      </c>
      <c r="F11" s="111">
        <v>2000</v>
      </c>
      <c r="G11" s="111">
        <v>3000</v>
      </c>
    </row>
    <row r="12" spans="1:9" x14ac:dyDescent="0.2">
      <c r="A12" s="92">
        <v>42</v>
      </c>
      <c r="B12" s="117">
        <v>483129.02970000001</v>
      </c>
      <c r="C12" s="111">
        <v>1500.0000027000021</v>
      </c>
      <c r="D12" s="111">
        <v>2267.0967651432211</v>
      </c>
      <c r="E12" s="111">
        <v>1000</v>
      </c>
      <c r="F12" s="111">
        <v>2000</v>
      </c>
      <c r="G12" s="111">
        <v>3000</v>
      </c>
    </row>
    <row r="13" spans="1:9" x14ac:dyDescent="0.2">
      <c r="A13" s="92">
        <v>47</v>
      </c>
      <c r="B13" s="118">
        <v>490629.02970000001</v>
      </c>
      <c r="C13" s="111">
        <v>1500.0000027000021</v>
      </c>
      <c r="D13" s="111">
        <v>2267.0967651432211</v>
      </c>
      <c r="E13" s="111">
        <v>1000</v>
      </c>
      <c r="F13" s="111">
        <v>2000</v>
      </c>
      <c r="G13" s="112">
        <v>3000</v>
      </c>
    </row>
    <row r="14" spans="1:9" x14ac:dyDescent="0.2">
      <c r="A14" s="92">
        <v>52</v>
      </c>
      <c r="B14" s="118">
        <v>498129.02970000001</v>
      </c>
      <c r="C14" s="111">
        <v>1500.0000027000021</v>
      </c>
      <c r="D14" s="111">
        <v>2267.0967651432211</v>
      </c>
      <c r="E14" s="111">
        <v>1000</v>
      </c>
      <c r="F14" s="111">
        <v>2000</v>
      </c>
      <c r="G14" s="112">
        <v>3000</v>
      </c>
    </row>
    <row r="15" spans="1:9" x14ac:dyDescent="0.2">
      <c r="A15" s="92">
        <v>57</v>
      </c>
      <c r="B15" s="118">
        <v>505629.02970000001</v>
      </c>
      <c r="C15" s="111">
        <v>1500.0000027000021</v>
      </c>
      <c r="D15" s="111">
        <v>2267.0967651432211</v>
      </c>
      <c r="E15" s="111">
        <v>1000</v>
      </c>
      <c r="F15" s="111">
        <v>2000</v>
      </c>
      <c r="G15" s="112">
        <v>3000</v>
      </c>
    </row>
    <row r="16" spans="1:9" x14ac:dyDescent="0.2">
      <c r="A16" s="92">
        <v>62</v>
      </c>
      <c r="B16" s="118">
        <v>513129.02970000001</v>
      </c>
      <c r="C16" s="111">
        <v>1500.0000027000021</v>
      </c>
      <c r="D16" s="111">
        <v>2267.0967651432211</v>
      </c>
      <c r="E16" s="111">
        <v>1000</v>
      </c>
      <c r="F16" s="111">
        <v>2000</v>
      </c>
      <c r="G16" s="112">
        <v>3000</v>
      </c>
    </row>
    <row r="17" spans="1:23" x14ac:dyDescent="0.2">
      <c r="A17" s="92">
        <v>67</v>
      </c>
      <c r="B17" s="118">
        <v>520629.02970000001</v>
      </c>
      <c r="C17" s="111">
        <v>1500.0000027000021</v>
      </c>
      <c r="D17" s="111">
        <v>2267.0967651432211</v>
      </c>
      <c r="E17" s="111">
        <v>1000</v>
      </c>
      <c r="F17" s="111">
        <v>2000</v>
      </c>
      <c r="G17" s="112">
        <v>3000</v>
      </c>
    </row>
    <row r="18" spans="1:23" x14ac:dyDescent="0.2">
      <c r="A18" s="92">
        <v>72</v>
      </c>
      <c r="B18" s="118">
        <v>528129.02969999996</v>
      </c>
      <c r="C18" s="111">
        <v>1500.0000027000021</v>
      </c>
      <c r="D18" s="111">
        <v>2267.0967651432211</v>
      </c>
      <c r="E18" s="111">
        <v>1000</v>
      </c>
      <c r="F18" s="111">
        <v>2000</v>
      </c>
      <c r="G18" s="112">
        <v>3000</v>
      </c>
    </row>
    <row r="19" spans="1:23" x14ac:dyDescent="0.2">
      <c r="A19" s="92">
        <v>77</v>
      </c>
      <c r="B19" s="118">
        <v>535629.02980000002</v>
      </c>
      <c r="C19" s="111">
        <v>1500.0000027000021</v>
      </c>
      <c r="D19" s="111">
        <v>2267.0967651432211</v>
      </c>
      <c r="E19" s="111">
        <v>1000</v>
      </c>
      <c r="F19" s="111">
        <v>2000</v>
      </c>
      <c r="G19" s="112">
        <v>3000</v>
      </c>
    </row>
    <row r="20" spans="1:23" x14ac:dyDescent="0.2">
      <c r="A20" s="92">
        <v>82</v>
      </c>
      <c r="B20" s="118">
        <v>543129.02980000002</v>
      </c>
      <c r="C20" s="111">
        <v>1500.0000027000021</v>
      </c>
      <c r="D20" s="111">
        <v>2267.0967651432211</v>
      </c>
      <c r="E20" s="111">
        <v>1000</v>
      </c>
      <c r="F20" s="111">
        <v>2000</v>
      </c>
      <c r="G20" s="112">
        <v>3000</v>
      </c>
    </row>
    <row r="21" spans="1:23" x14ac:dyDescent="0.2">
      <c r="A21" s="92">
        <v>87</v>
      </c>
      <c r="B21" s="118">
        <v>550629.02980000002</v>
      </c>
      <c r="C21" s="111">
        <v>1500.0000027000021</v>
      </c>
      <c r="D21" s="111">
        <v>2267.0967651432211</v>
      </c>
      <c r="E21" s="111">
        <v>1000</v>
      </c>
      <c r="F21" s="111">
        <v>2000</v>
      </c>
      <c r="G21" s="112">
        <v>3000</v>
      </c>
    </row>
    <row r="22" spans="1:23" x14ac:dyDescent="0.2">
      <c r="A22" s="92">
        <v>92</v>
      </c>
      <c r="B22" s="118">
        <v>558129.02980000002</v>
      </c>
      <c r="C22" s="111">
        <v>1500.0000027000021</v>
      </c>
      <c r="D22" s="111">
        <v>2267.0967651432211</v>
      </c>
      <c r="E22" s="111">
        <v>1000</v>
      </c>
      <c r="F22" s="111">
        <v>2000</v>
      </c>
      <c r="G22" s="112">
        <v>3000</v>
      </c>
    </row>
    <row r="23" spans="1:23" x14ac:dyDescent="0.2">
      <c r="A23" s="92">
        <v>97</v>
      </c>
      <c r="B23" s="118">
        <v>565629.02980000002</v>
      </c>
      <c r="C23" s="111">
        <v>1500.0000027000021</v>
      </c>
      <c r="D23" s="111">
        <v>2267.0967651432211</v>
      </c>
      <c r="E23" s="111">
        <v>1000</v>
      </c>
      <c r="F23" s="111">
        <v>2000</v>
      </c>
      <c r="G23" s="112">
        <v>3000</v>
      </c>
    </row>
    <row r="24" spans="1:23" ht="15.75" customHeight="1" x14ac:dyDescent="0.2">
      <c r="A24" s="92">
        <v>102</v>
      </c>
      <c r="B24" s="118">
        <v>573129.02980000002</v>
      </c>
      <c r="C24" s="111">
        <v>1500.0000027000021</v>
      </c>
      <c r="D24" s="111">
        <v>2267.0967651432211</v>
      </c>
      <c r="E24" s="111">
        <v>1000</v>
      </c>
      <c r="F24" s="111">
        <v>2000</v>
      </c>
      <c r="G24" s="112">
        <v>3000</v>
      </c>
      <c r="I24" s="205"/>
      <c r="J24" s="205"/>
      <c r="K24" s="205"/>
      <c r="L24" s="205"/>
      <c r="M24" s="157"/>
      <c r="N24" s="206"/>
      <c r="O24" s="206"/>
      <c r="P24" s="206"/>
      <c r="Q24" s="206"/>
      <c r="R24" s="157"/>
      <c r="S24" s="188"/>
      <c r="T24" s="188"/>
      <c r="U24" s="157"/>
    </row>
    <row r="25" spans="1:23" ht="15.75" customHeight="1" x14ac:dyDescent="0.2">
      <c r="A25" s="92"/>
      <c r="B25" s="118"/>
      <c r="C25" s="111"/>
      <c r="D25" s="111"/>
      <c r="E25" s="111"/>
      <c r="F25" s="111"/>
      <c r="G25" s="112"/>
      <c r="H25" s="96"/>
      <c r="I25" s="157"/>
      <c r="J25" s="190" t="s">
        <v>111</v>
      </c>
      <c r="K25" s="191"/>
      <c r="L25" s="191"/>
      <c r="M25" s="192"/>
      <c r="N25"/>
      <c r="O25" s="193" t="s">
        <v>104</v>
      </c>
      <c r="P25" s="194"/>
      <c r="Q25" s="194"/>
      <c r="R25" s="194"/>
      <c r="S25" s="141"/>
      <c r="T25" s="157"/>
      <c r="U25" s="157"/>
    </row>
    <row r="26" spans="1:23" ht="15.75" customHeight="1" x14ac:dyDescent="0.2">
      <c r="A26" s="92"/>
      <c r="B26" s="118"/>
      <c r="C26" s="111"/>
      <c r="D26" s="111"/>
      <c r="E26" s="111"/>
      <c r="F26" s="119"/>
      <c r="G26" s="113"/>
      <c r="H26" s="98"/>
      <c r="I26" s="157"/>
      <c r="J26" s="137"/>
      <c r="K26" s="138" t="s">
        <v>81</v>
      </c>
      <c r="L26" s="138" t="s">
        <v>41</v>
      </c>
      <c r="M26" s="139" t="s">
        <v>42</v>
      </c>
      <c r="N26"/>
      <c r="O26" s="152"/>
      <c r="P26" s="151"/>
      <c r="Q26" s="151"/>
      <c r="R26" s="151"/>
      <c r="S26" s="159"/>
      <c r="T26" s="189"/>
      <c r="U26" s="157"/>
    </row>
    <row r="27" spans="1:23" x14ac:dyDescent="0.2">
      <c r="A27" s="92"/>
      <c r="B27" s="118"/>
      <c r="C27" s="111"/>
      <c r="D27" s="111"/>
      <c r="E27" s="111"/>
      <c r="F27" s="119"/>
      <c r="G27" s="113"/>
      <c r="H27" s="98"/>
      <c r="I27" s="157"/>
      <c r="J27" s="137" t="s">
        <v>4</v>
      </c>
      <c r="K27" s="142">
        <f>Instructions!C30</f>
        <v>0.2</v>
      </c>
      <c r="L27" s="142">
        <f>Instructions!D30</f>
        <v>0.1</v>
      </c>
      <c r="M27" s="143">
        <f>Instructions!E30</f>
        <v>0.05</v>
      </c>
      <c r="N27"/>
      <c r="O27" s="152"/>
      <c r="P27" s="162" t="s">
        <v>113</v>
      </c>
      <c r="Q27" s="164" t="s">
        <v>106</v>
      </c>
      <c r="R27" s="164" t="s">
        <v>109</v>
      </c>
      <c r="S27" s="158"/>
      <c r="T27" s="189"/>
      <c r="U27" s="157"/>
    </row>
    <row r="28" spans="1:23" x14ac:dyDescent="0.2">
      <c r="A28" s="92"/>
      <c r="B28" s="118"/>
      <c r="C28" s="111"/>
      <c r="D28" s="111"/>
      <c r="E28" s="111"/>
      <c r="F28" s="119"/>
      <c r="G28" s="113"/>
      <c r="H28" s="98"/>
      <c r="I28" s="157"/>
      <c r="J28" s="137" t="s">
        <v>6</v>
      </c>
      <c r="K28" s="142">
        <f>Instructions!C31</f>
        <v>0.1</v>
      </c>
      <c r="L28" s="142">
        <f>Instructions!D31</f>
        <v>0.2</v>
      </c>
      <c r="M28" s="143">
        <f>Instructions!E31</f>
        <v>0.05</v>
      </c>
      <c r="N28" s="136"/>
      <c r="O28" s="161" t="s">
        <v>79</v>
      </c>
      <c r="P28" s="163">
        <f>Instructions!H31</f>
        <v>0.8</v>
      </c>
      <c r="Q28" s="165">
        <f>Instructions!I31</f>
        <v>0.3</v>
      </c>
      <c r="R28" s="165">
        <f>Instructions!J31</f>
        <v>0.5</v>
      </c>
      <c r="S28" s="166"/>
      <c r="T28" s="189"/>
      <c r="U28" s="157"/>
    </row>
    <row r="29" spans="1:23" x14ac:dyDescent="0.2">
      <c r="A29" s="92"/>
      <c r="B29" s="118"/>
      <c r="C29" s="111"/>
      <c r="D29" s="111"/>
      <c r="E29" s="111"/>
      <c r="F29" s="119"/>
      <c r="G29" s="113"/>
      <c r="H29" s="98"/>
      <c r="I29" s="157"/>
      <c r="J29" s="137" t="s">
        <v>7</v>
      </c>
      <c r="K29" s="142">
        <f>Instructions!C32</f>
        <v>0.3</v>
      </c>
      <c r="L29" s="142">
        <f>Instructions!D32</f>
        <v>0.3</v>
      </c>
      <c r="M29" s="143">
        <f>Instructions!E32</f>
        <v>0.7</v>
      </c>
      <c r="N29" s="136"/>
      <c r="O29" s="154"/>
      <c r="P29" s="155"/>
      <c r="Q29" s="156"/>
      <c r="R29" s="156"/>
      <c r="S29" s="166"/>
      <c r="T29" s="189"/>
      <c r="U29" s="157"/>
    </row>
    <row r="30" spans="1:23" x14ac:dyDescent="0.2">
      <c r="A30" s="93"/>
      <c r="B30" s="120"/>
      <c r="C30" s="120"/>
      <c r="D30" s="118"/>
      <c r="F30" s="121"/>
      <c r="G30" s="114"/>
      <c r="H30" s="98"/>
      <c r="I30" s="157"/>
      <c r="J30" s="137" t="s">
        <v>8</v>
      </c>
      <c r="K30" s="142">
        <f>Instructions!C33</f>
        <v>0.3</v>
      </c>
      <c r="L30" s="142">
        <f>Instructions!D33</f>
        <v>0.3</v>
      </c>
      <c r="M30" s="143">
        <f>Instructions!E33</f>
        <v>0.2</v>
      </c>
      <c r="N30"/>
      <c r="O30" s="154"/>
      <c r="P30" s="162" t="s">
        <v>105</v>
      </c>
      <c r="Q30" s="164" t="s">
        <v>108</v>
      </c>
      <c r="R30" s="164" t="s">
        <v>107</v>
      </c>
      <c r="S30" s="164" t="s">
        <v>110</v>
      </c>
      <c r="T30" s="189"/>
      <c r="U30" s="157"/>
    </row>
    <row r="31" spans="1:23" x14ac:dyDescent="0.2">
      <c r="A31" s="93"/>
      <c r="B31" s="120"/>
      <c r="C31" s="120"/>
      <c r="D31" s="118"/>
      <c r="F31" s="121"/>
      <c r="G31" s="114"/>
      <c r="H31" s="98"/>
      <c r="I31" s="157"/>
      <c r="J31" s="140" t="s">
        <v>9</v>
      </c>
      <c r="K31" s="144">
        <f>Instructions!C34</f>
        <v>0.1</v>
      </c>
      <c r="L31" s="144">
        <f>Instructions!D34</f>
        <v>0.1</v>
      </c>
      <c r="M31" s="145">
        <f>Instructions!E34</f>
        <v>0</v>
      </c>
      <c r="N31"/>
      <c r="O31" s="160" t="s">
        <v>80</v>
      </c>
      <c r="P31" s="163">
        <f>Instructions!H34</f>
        <v>0.4</v>
      </c>
      <c r="Q31" s="165">
        <f>Instructions!I34</f>
        <v>0.6</v>
      </c>
      <c r="R31" s="165">
        <f>Instructions!J34</f>
        <v>0.3</v>
      </c>
      <c r="S31" s="165">
        <f>Instructions!K34</f>
        <v>0.7</v>
      </c>
      <c r="T31" s="157"/>
      <c r="U31" s="157"/>
      <c r="V31" s="98"/>
      <c r="W31" s="98"/>
    </row>
    <row r="32" spans="1:23" x14ac:dyDescent="0.2">
      <c r="A32" s="93"/>
      <c r="B32" s="120"/>
      <c r="C32" s="120"/>
      <c r="D32" s="118"/>
      <c r="F32" s="121"/>
      <c r="G32" s="114"/>
      <c r="H32" s="98"/>
      <c r="I32" s="157"/>
      <c r="J32" s="146" t="s">
        <v>112</v>
      </c>
      <c r="K32" s="147">
        <f>Instructions!C35</f>
        <v>1.0000000000000002</v>
      </c>
      <c r="L32" s="148">
        <f>Instructions!D35</f>
        <v>1.0000000000000002</v>
      </c>
      <c r="M32" s="149">
        <f>Instructions!E35</f>
        <v>1</v>
      </c>
      <c r="N32"/>
      <c r="O32"/>
      <c r="P32"/>
      <c r="Q32"/>
      <c r="R32"/>
      <c r="S32" s="157"/>
      <c r="T32" s="156"/>
      <c r="U32" s="156"/>
      <c r="V32" s="99"/>
      <c r="W32" s="98"/>
    </row>
    <row r="33" spans="1:23" x14ac:dyDescent="0.2">
      <c r="A33" s="93"/>
      <c r="B33" s="120"/>
      <c r="C33" s="120"/>
      <c r="D33" s="118"/>
      <c r="F33" s="121"/>
      <c r="G33" s="114"/>
      <c r="H33" s="98"/>
      <c r="Q33" s="19"/>
      <c r="S33" s="98"/>
      <c r="T33" s="99"/>
      <c r="U33" s="99"/>
      <c r="V33" s="99"/>
      <c r="W33" s="98"/>
    </row>
    <row r="34" spans="1:23" x14ac:dyDescent="0.2">
      <c r="A34" s="93"/>
      <c r="B34" s="120"/>
      <c r="C34" s="120"/>
      <c r="D34" s="118"/>
      <c r="I34" s="103"/>
      <c r="J34" s="104"/>
      <c r="K34" s="101"/>
      <c r="L34" s="101"/>
      <c r="M34" s="101"/>
      <c r="N34" s="102"/>
    </row>
    <row r="35" spans="1:23" x14ac:dyDescent="0.2">
      <c r="A35" s="93"/>
      <c r="B35" s="120"/>
      <c r="C35" s="120"/>
      <c r="D35" s="118"/>
      <c r="J35" s="105"/>
    </row>
    <row r="36" spans="1:23" x14ac:dyDescent="0.2">
      <c r="A36" s="93"/>
      <c r="B36" s="120"/>
      <c r="C36" s="120"/>
      <c r="D36" s="118"/>
      <c r="J36" s="106"/>
      <c r="N36" s="97"/>
    </row>
    <row r="37" spans="1:23" x14ac:dyDescent="0.2">
      <c r="A37" s="93"/>
      <c r="B37" s="120"/>
      <c r="C37" s="120"/>
      <c r="D37" s="118"/>
      <c r="N37" s="97"/>
      <c r="O37" s="97"/>
      <c r="P37" s="97"/>
    </row>
    <row r="38" spans="1:23" x14ac:dyDescent="0.2">
      <c r="A38" s="93"/>
      <c r="B38" s="120"/>
      <c r="C38" s="120"/>
      <c r="D38" s="118"/>
      <c r="N38" s="97"/>
      <c r="O38" s="97"/>
      <c r="P38" s="97"/>
    </row>
    <row r="39" spans="1:23" x14ac:dyDescent="0.2">
      <c r="A39" s="93"/>
      <c r="B39" s="120"/>
      <c r="C39" s="120"/>
      <c r="D39" s="118"/>
    </row>
    <row r="40" spans="1:23" x14ac:dyDescent="0.2">
      <c r="A40" s="93"/>
      <c r="B40" s="120"/>
      <c r="C40" s="120"/>
      <c r="D40" s="118"/>
    </row>
    <row r="41" spans="1:23" x14ac:dyDescent="0.2">
      <c r="A41" s="93"/>
      <c r="B41" s="120"/>
      <c r="C41" s="120"/>
      <c r="D41" s="118"/>
    </row>
    <row r="42" spans="1:23" x14ac:dyDescent="0.2">
      <c r="A42" s="93"/>
      <c r="B42" s="120"/>
      <c r="C42" s="120"/>
      <c r="D42" s="118"/>
    </row>
    <row r="43" spans="1:23" x14ac:dyDescent="0.2">
      <c r="A43" s="93"/>
      <c r="B43" s="120"/>
      <c r="C43" s="120"/>
      <c r="D43" s="118"/>
    </row>
    <row r="44" spans="1:23" x14ac:dyDescent="0.2">
      <c r="A44" s="93"/>
      <c r="B44" s="120"/>
      <c r="C44" s="120"/>
      <c r="D44" s="118"/>
    </row>
    <row r="45" spans="1:23" x14ac:dyDescent="0.2">
      <c r="A45" s="93"/>
      <c r="B45" s="120"/>
      <c r="C45" s="120"/>
      <c r="D45" s="118"/>
    </row>
    <row r="46" spans="1:23" x14ac:dyDescent="0.2">
      <c r="A46" s="93"/>
      <c r="B46" s="120"/>
      <c r="C46" s="120"/>
      <c r="D46" s="118"/>
    </row>
    <row r="47" spans="1:23" x14ac:dyDescent="0.2">
      <c r="A47" s="93"/>
      <c r="B47" s="120"/>
      <c r="C47" s="120"/>
      <c r="D47" s="118"/>
    </row>
    <row r="48" spans="1:23" x14ac:dyDescent="0.2">
      <c r="A48" s="93"/>
      <c r="B48" s="120"/>
      <c r="C48" s="120"/>
      <c r="D48" s="118"/>
    </row>
    <row r="49" spans="1:4" x14ac:dyDescent="0.2">
      <c r="A49" s="93"/>
      <c r="B49" s="120"/>
      <c r="C49" s="120"/>
      <c r="D49" s="118"/>
    </row>
    <row r="50" spans="1:4" x14ac:dyDescent="0.2">
      <c r="A50" s="93"/>
      <c r="B50" s="120"/>
      <c r="C50" s="120"/>
      <c r="D50" s="118"/>
    </row>
    <row r="51" spans="1:4" x14ac:dyDescent="0.2">
      <c r="A51" s="93"/>
      <c r="B51" s="120"/>
      <c r="C51" s="120"/>
      <c r="D51" s="118"/>
    </row>
    <row r="52" spans="1:4" x14ac:dyDescent="0.2">
      <c r="A52" s="93"/>
      <c r="B52" s="120"/>
      <c r="C52" s="120"/>
      <c r="D52" s="118"/>
    </row>
    <row r="53" spans="1:4" x14ac:dyDescent="0.2">
      <c r="A53" s="93"/>
      <c r="B53" s="120"/>
      <c r="C53" s="120"/>
      <c r="D53" s="118"/>
    </row>
    <row r="54" spans="1:4" x14ac:dyDescent="0.2">
      <c r="A54" s="93"/>
      <c r="B54" s="120"/>
      <c r="C54" s="120"/>
      <c r="D54" s="118"/>
    </row>
    <row r="55" spans="1:4" x14ac:dyDescent="0.2">
      <c r="A55" s="93"/>
      <c r="B55" s="120"/>
      <c r="C55" s="120"/>
      <c r="D55" s="118"/>
    </row>
    <row r="56" spans="1:4" x14ac:dyDescent="0.2">
      <c r="A56" s="93"/>
      <c r="B56" s="120"/>
      <c r="C56" s="120"/>
      <c r="D56" s="118"/>
    </row>
    <row r="57" spans="1:4" x14ac:dyDescent="0.2">
      <c r="A57" s="93"/>
      <c r="B57" s="120"/>
      <c r="C57" s="120"/>
      <c r="D57" s="118"/>
    </row>
    <row r="58" spans="1:4" x14ac:dyDescent="0.2">
      <c r="A58" s="93"/>
      <c r="B58" s="120"/>
      <c r="C58" s="120"/>
      <c r="D58" s="118"/>
    </row>
    <row r="59" spans="1:4" x14ac:dyDescent="0.2">
      <c r="A59" s="93"/>
      <c r="B59" s="120"/>
      <c r="C59" s="120"/>
      <c r="D59" s="118"/>
    </row>
    <row r="60" spans="1:4" x14ac:dyDescent="0.2">
      <c r="A60" s="93"/>
      <c r="B60" s="120"/>
      <c r="C60" s="120"/>
      <c r="D60" s="118"/>
    </row>
    <row r="61" spans="1:4" x14ac:dyDescent="0.2">
      <c r="A61" s="93"/>
      <c r="B61" s="120"/>
      <c r="C61" s="120"/>
      <c r="D61" s="118"/>
    </row>
    <row r="62" spans="1:4" x14ac:dyDescent="0.2">
      <c r="A62" s="93"/>
      <c r="B62" s="120"/>
      <c r="C62" s="120"/>
      <c r="D62" s="118"/>
    </row>
    <row r="63" spans="1:4" x14ac:dyDescent="0.2">
      <c r="A63" s="93"/>
      <c r="B63" s="120"/>
      <c r="C63" s="120"/>
      <c r="D63" s="118"/>
    </row>
    <row r="64" spans="1:4" x14ac:dyDescent="0.2">
      <c r="A64" s="93"/>
      <c r="B64" s="120"/>
      <c r="C64" s="120"/>
      <c r="D64" s="118"/>
    </row>
    <row r="65" spans="1:4" x14ac:dyDescent="0.2">
      <c r="A65" s="93"/>
      <c r="B65" s="120"/>
      <c r="C65" s="120"/>
      <c r="D65" s="118"/>
    </row>
    <row r="66" spans="1:4" x14ac:dyDescent="0.2">
      <c r="A66" s="93"/>
      <c r="B66" s="120"/>
      <c r="C66" s="120"/>
      <c r="D66" s="118"/>
    </row>
    <row r="67" spans="1:4" x14ac:dyDescent="0.2">
      <c r="A67" s="93"/>
      <c r="B67" s="120"/>
      <c r="C67" s="120"/>
      <c r="D67" s="118"/>
    </row>
    <row r="68" spans="1:4" x14ac:dyDescent="0.2">
      <c r="A68" s="93"/>
      <c r="B68" s="120"/>
      <c r="C68" s="120"/>
      <c r="D68" s="118"/>
    </row>
    <row r="69" spans="1:4" x14ac:dyDescent="0.2">
      <c r="A69" s="93"/>
      <c r="B69" s="120"/>
      <c r="C69" s="120"/>
      <c r="D69" s="118"/>
    </row>
    <row r="70" spans="1:4" x14ac:dyDescent="0.2">
      <c r="A70" s="93"/>
      <c r="B70" s="120"/>
      <c r="C70" s="120"/>
      <c r="D70" s="118"/>
    </row>
    <row r="71" spans="1:4" x14ac:dyDescent="0.2">
      <c r="A71" s="93"/>
      <c r="B71" s="120"/>
      <c r="C71" s="120"/>
      <c r="D71" s="118"/>
    </row>
    <row r="72" spans="1:4" x14ac:dyDescent="0.2">
      <c r="A72" s="93"/>
      <c r="B72" s="120"/>
      <c r="C72" s="120"/>
      <c r="D72" s="118"/>
    </row>
    <row r="73" spans="1:4" x14ac:dyDescent="0.2">
      <c r="A73" s="93"/>
      <c r="B73" s="120"/>
      <c r="C73" s="120"/>
      <c r="D73" s="118"/>
    </row>
    <row r="74" spans="1:4" x14ac:dyDescent="0.2">
      <c r="A74" s="93"/>
      <c r="B74" s="120"/>
      <c r="C74" s="120"/>
      <c r="D74" s="118"/>
    </row>
    <row r="75" spans="1:4" x14ac:dyDescent="0.2">
      <c r="A75" s="93"/>
      <c r="B75" s="120"/>
      <c r="C75" s="120"/>
      <c r="D75" s="118"/>
    </row>
    <row r="76" spans="1:4" x14ac:dyDescent="0.2">
      <c r="A76" s="93"/>
      <c r="B76" s="120"/>
      <c r="C76" s="120"/>
      <c r="D76" s="118"/>
    </row>
    <row r="77" spans="1:4" x14ac:dyDescent="0.2">
      <c r="A77" s="93"/>
      <c r="B77" s="120"/>
      <c r="C77" s="120"/>
      <c r="D77" s="118"/>
    </row>
    <row r="78" spans="1:4" x14ac:dyDescent="0.2">
      <c r="A78" s="93"/>
      <c r="B78" s="120"/>
      <c r="C78" s="120"/>
      <c r="D78" s="118"/>
    </row>
    <row r="79" spans="1:4" x14ac:dyDescent="0.2">
      <c r="A79" s="93"/>
      <c r="B79" s="120"/>
      <c r="C79" s="120"/>
      <c r="D79" s="118"/>
    </row>
    <row r="80" spans="1:4" x14ac:dyDescent="0.2">
      <c r="A80" s="93"/>
      <c r="B80" s="120"/>
      <c r="C80" s="120"/>
      <c r="D80" s="118"/>
    </row>
    <row r="81" spans="1:4" x14ac:dyDescent="0.2">
      <c r="A81" s="93"/>
      <c r="B81" s="120"/>
      <c r="C81" s="120"/>
      <c r="D81" s="118"/>
    </row>
    <row r="82" spans="1:4" x14ac:dyDescent="0.2">
      <c r="A82" s="93"/>
      <c r="B82" s="120"/>
      <c r="C82" s="120"/>
      <c r="D82" s="118"/>
    </row>
    <row r="83" spans="1:4" x14ac:dyDescent="0.2">
      <c r="A83" s="93"/>
      <c r="B83" s="120"/>
      <c r="C83" s="120"/>
      <c r="D83" s="118"/>
    </row>
    <row r="84" spans="1:4" x14ac:dyDescent="0.2">
      <c r="A84" s="93"/>
      <c r="B84" s="120"/>
      <c r="C84" s="120"/>
      <c r="D84" s="118"/>
    </row>
    <row r="85" spans="1:4" x14ac:dyDescent="0.2">
      <c r="A85" s="93"/>
      <c r="B85" s="120"/>
      <c r="C85" s="120"/>
      <c r="D85" s="118"/>
    </row>
    <row r="86" spans="1:4" x14ac:dyDescent="0.2">
      <c r="A86" s="93"/>
      <c r="B86" s="120"/>
      <c r="C86" s="120"/>
      <c r="D86" s="118"/>
    </row>
    <row r="87" spans="1:4" x14ac:dyDescent="0.2">
      <c r="A87" s="93"/>
      <c r="B87" s="120"/>
      <c r="C87" s="120"/>
      <c r="D87" s="118"/>
    </row>
    <row r="88" spans="1:4" x14ac:dyDescent="0.2">
      <c r="A88" s="93"/>
      <c r="B88" s="120"/>
      <c r="C88" s="120"/>
      <c r="D88" s="118"/>
    </row>
    <row r="89" spans="1:4" x14ac:dyDescent="0.2">
      <c r="A89" s="93"/>
      <c r="B89" s="120"/>
      <c r="C89" s="120"/>
      <c r="D89" s="118"/>
    </row>
    <row r="90" spans="1:4" x14ac:dyDescent="0.2">
      <c r="A90" s="93"/>
      <c r="B90" s="120"/>
      <c r="C90" s="120"/>
      <c r="D90" s="118"/>
    </row>
    <row r="91" spans="1:4" x14ac:dyDescent="0.2">
      <c r="A91" s="93"/>
      <c r="B91" s="120"/>
      <c r="C91" s="120"/>
      <c r="D91" s="118"/>
    </row>
    <row r="92" spans="1:4" x14ac:dyDescent="0.2">
      <c r="A92" s="93"/>
      <c r="B92" s="120"/>
      <c r="C92" s="120"/>
      <c r="D92" s="118"/>
    </row>
    <row r="93" spans="1:4" x14ac:dyDescent="0.2">
      <c r="A93" s="93"/>
      <c r="B93" s="120"/>
      <c r="C93" s="120"/>
      <c r="D93" s="118"/>
    </row>
    <row r="94" spans="1:4" x14ac:dyDescent="0.2">
      <c r="A94" s="93"/>
      <c r="B94" s="120"/>
      <c r="C94" s="120"/>
      <c r="D94" s="118"/>
    </row>
    <row r="95" spans="1:4" x14ac:dyDescent="0.2">
      <c r="A95" s="93"/>
      <c r="B95" s="120"/>
      <c r="C95" s="120"/>
      <c r="D95" s="118"/>
    </row>
    <row r="96" spans="1:4" x14ac:dyDescent="0.2">
      <c r="A96" s="93"/>
      <c r="B96" s="120"/>
      <c r="C96" s="120"/>
      <c r="D96" s="118"/>
    </row>
    <row r="97" spans="1:4" x14ac:dyDescent="0.2">
      <c r="A97" s="93"/>
      <c r="B97" s="120"/>
      <c r="C97" s="120"/>
      <c r="D97" s="118"/>
    </row>
    <row r="98" spans="1:4" x14ac:dyDescent="0.2">
      <c r="A98" s="93"/>
      <c r="B98" s="120"/>
      <c r="C98" s="120"/>
      <c r="D98" s="118"/>
    </row>
    <row r="99" spans="1:4" x14ac:dyDescent="0.2">
      <c r="A99" s="93"/>
      <c r="B99" s="120"/>
      <c r="C99" s="120"/>
      <c r="D99" s="118"/>
    </row>
    <row r="100" spans="1:4" x14ac:dyDescent="0.2">
      <c r="A100" s="93"/>
      <c r="B100" s="120"/>
      <c r="C100" s="120"/>
      <c r="D100" s="118"/>
    </row>
    <row r="101" spans="1:4" x14ac:dyDescent="0.2">
      <c r="A101" s="93"/>
      <c r="B101" s="120"/>
      <c r="C101" s="120"/>
      <c r="D101" s="118"/>
    </row>
    <row r="102" spans="1:4" x14ac:dyDescent="0.2">
      <c r="A102" s="93"/>
      <c r="B102" s="120"/>
      <c r="C102" s="120"/>
      <c r="D102" s="118"/>
    </row>
    <row r="103" spans="1:4" x14ac:dyDescent="0.2">
      <c r="A103" s="93"/>
      <c r="B103" s="120"/>
      <c r="C103" s="120"/>
      <c r="D103" s="118"/>
    </row>
    <row r="104" spans="1:4" x14ac:dyDescent="0.2">
      <c r="A104" s="93"/>
      <c r="B104" s="120"/>
      <c r="C104" s="120"/>
      <c r="D104" s="118"/>
    </row>
    <row r="105" spans="1:4" x14ac:dyDescent="0.2">
      <c r="A105" s="93"/>
      <c r="B105" s="120"/>
      <c r="C105" s="120"/>
      <c r="D105" s="118"/>
    </row>
    <row r="106" spans="1:4" x14ac:dyDescent="0.2">
      <c r="A106" s="93"/>
      <c r="B106" s="120"/>
      <c r="C106" s="120"/>
      <c r="D106" s="118"/>
    </row>
    <row r="107" spans="1:4" x14ac:dyDescent="0.2">
      <c r="A107" s="93"/>
      <c r="B107" s="120"/>
      <c r="C107" s="120"/>
      <c r="D107" s="118"/>
    </row>
    <row r="108" spans="1:4" x14ac:dyDescent="0.2">
      <c r="A108" s="93"/>
      <c r="B108" s="120"/>
      <c r="C108" s="120"/>
      <c r="D108" s="118"/>
    </row>
    <row r="109" spans="1:4" x14ac:dyDescent="0.2">
      <c r="A109" s="93"/>
      <c r="B109" s="120"/>
      <c r="C109" s="120"/>
      <c r="D109" s="118"/>
    </row>
    <row r="110" spans="1:4" x14ac:dyDescent="0.2">
      <c r="A110" s="93"/>
      <c r="B110" s="120"/>
      <c r="C110" s="120"/>
      <c r="D110" s="118"/>
    </row>
    <row r="111" spans="1:4" x14ac:dyDescent="0.2">
      <c r="A111" s="93"/>
      <c r="B111" s="120"/>
      <c r="C111" s="120"/>
      <c r="D111" s="118"/>
    </row>
    <row r="112" spans="1:4" x14ac:dyDescent="0.2">
      <c r="A112" s="93"/>
      <c r="B112" s="120"/>
      <c r="C112" s="120"/>
      <c r="D112" s="118"/>
    </row>
    <row r="113" spans="1:4" x14ac:dyDescent="0.2">
      <c r="A113" s="93"/>
      <c r="B113" s="120"/>
      <c r="C113" s="120"/>
      <c r="D113" s="118"/>
    </row>
    <row r="114" spans="1:4" x14ac:dyDescent="0.2">
      <c r="A114" s="93"/>
      <c r="B114" s="120"/>
      <c r="C114" s="120"/>
      <c r="D114" s="118"/>
    </row>
    <row r="115" spans="1:4" x14ac:dyDescent="0.2">
      <c r="A115" s="93"/>
      <c r="B115" s="120"/>
      <c r="C115" s="120"/>
      <c r="D115" s="118"/>
    </row>
    <row r="116" spans="1:4" x14ac:dyDescent="0.2">
      <c r="A116" s="93"/>
      <c r="B116" s="120"/>
      <c r="C116" s="120"/>
      <c r="D116" s="118"/>
    </row>
    <row r="117" spans="1:4" x14ac:dyDescent="0.2">
      <c r="A117" s="93"/>
      <c r="B117" s="120"/>
      <c r="C117" s="120"/>
      <c r="D117" s="118"/>
    </row>
    <row r="118" spans="1:4" x14ac:dyDescent="0.2">
      <c r="A118" s="93"/>
      <c r="B118" s="120"/>
      <c r="C118" s="120"/>
      <c r="D118" s="118"/>
    </row>
    <row r="119" spans="1:4" x14ac:dyDescent="0.2">
      <c r="A119" s="93"/>
      <c r="B119" s="120"/>
      <c r="C119" s="120"/>
      <c r="D119" s="118"/>
    </row>
    <row r="120" spans="1:4" x14ac:dyDescent="0.2">
      <c r="A120" s="93"/>
      <c r="B120" s="120"/>
      <c r="C120" s="120"/>
      <c r="D120" s="118"/>
    </row>
    <row r="121" spans="1:4" x14ac:dyDescent="0.2">
      <c r="A121" s="93"/>
      <c r="B121" s="120"/>
      <c r="C121" s="120"/>
      <c r="D121" s="118"/>
    </row>
    <row r="122" spans="1:4" x14ac:dyDescent="0.2">
      <c r="A122" s="93"/>
      <c r="B122" s="120"/>
      <c r="C122" s="120"/>
      <c r="D122" s="118"/>
    </row>
    <row r="123" spans="1:4" x14ac:dyDescent="0.2">
      <c r="A123" s="93"/>
      <c r="B123" s="120"/>
      <c r="C123" s="120"/>
      <c r="D123" s="118"/>
    </row>
    <row r="124" spans="1:4" x14ac:dyDescent="0.2">
      <c r="A124" s="93"/>
      <c r="B124" s="120"/>
      <c r="C124" s="120"/>
      <c r="D124" s="118"/>
    </row>
    <row r="125" spans="1:4" x14ac:dyDescent="0.2">
      <c r="A125" s="93"/>
      <c r="B125" s="120"/>
      <c r="C125" s="120"/>
      <c r="D125" s="118"/>
    </row>
    <row r="126" spans="1:4" x14ac:dyDescent="0.2">
      <c r="A126" s="93"/>
      <c r="B126" s="120"/>
      <c r="C126" s="120"/>
      <c r="D126" s="118"/>
    </row>
    <row r="127" spans="1:4" x14ac:dyDescent="0.2">
      <c r="A127" s="93"/>
      <c r="B127" s="120"/>
      <c r="C127" s="120"/>
      <c r="D127" s="118"/>
    </row>
    <row r="128" spans="1:4" x14ac:dyDescent="0.2">
      <c r="A128" s="93"/>
      <c r="B128" s="120"/>
      <c r="C128" s="120"/>
      <c r="D128" s="118"/>
    </row>
    <row r="129" spans="1:4" x14ac:dyDescent="0.2">
      <c r="A129" s="93"/>
      <c r="B129" s="120"/>
      <c r="C129" s="120"/>
      <c r="D129" s="118"/>
    </row>
    <row r="130" spans="1:4" x14ac:dyDescent="0.2">
      <c r="A130" s="93"/>
      <c r="B130" s="120"/>
      <c r="C130" s="120"/>
      <c r="D130" s="118"/>
    </row>
    <row r="131" spans="1:4" x14ac:dyDescent="0.2">
      <c r="A131" s="93"/>
      <c r="B131" s="120"/>
      <c r="C131" s="120"/>
      <c r="D131" s="118"/>
    </row>
    <row r="132" spans="1:4" x14ac:dyDescent="0.2">
      <c r="A132" s="93"/>
      <c r="B132" s="120"/>
      <c r="C132" s="120"/>
      <c r="D132" s="118"/>
    </row>
    <row r="133" spans="1:4" x14ac:dyDescent="0.2">
      <c r="A133" s="93"/>
      <c r="B133" s="120"/>
      <c r="C133" s="120"/>
      <c r="D133" s="118"/>
    </row>
    <row r="134" spans="1:4" x14ac:dyDescent="0.2">
      <c r="A134" s="93"/>
      <c r="B134" s="120"/>
      <c r="C134" s="120"/>
      <c r="D134" s="118"/>
    </row>
    <row r="135" spans="1:4" x14ac:dyDescent="0.2">
      <c r="A135" s="93"/>
      <c r="B135" s="120"/>
      <c r="C135" s="120"/>
      <c r="D135" s="118"/>
    </row>
    <row r="136" spans="1:4" x14ac:dyDescent="0.2">
      <c r="A136" s="93"/>
      <c r="B136" s="120"/>
      <c r="C136" s="120"/>
      <c r="D136" s="118"/>
    </row>
    <row r="137" spans="1:4" x14ac:dyDescent="0.2">
      <c r="A137" s="93"/>
      <c r="B137" s="120"/>
      <c r="C137" s="120"/>
      <c r="D137" s="118"/>
    </row>
    <row r="138" spans="1:4" x14ac:dyDescent="0.2">
      <c r="A138" s="93"/>
      <c r="B138" s="120"/>
      <c r="C138" s="120"/>
      <c r="D138" s="118"/>
    </row>
    <row r="139" spans="1:4" x14ac:dyDescent="0.2">
      <c r="A139" s="93"/>
      <c r="B139" s="120"/>
      <c r="C139" s="120"/>
      <c r="D139" s="118"/>
    </row>
    <row r="140" spans="1:4" x14ac:dyDescent="0.2">
      <c r="A140" s="93"/>
      <c r="B140" s="120"/>
      <c r="C140" s="120"/>
      <c r="D140" s="118"/>
    </row>
    <row r="141" spans="1:4" x14ac:dyDescent="0.2">
      <c r="A141" s="93"/>
      <c r="B141" s="120"/>
      <c r="C141" s="120"/>
      <c r="D141" s="118"/>
    </row>
    <row r="142" spans="1:4" x14ac:dyDescent="0.2">
      <c r="A142" s="93"/>
      <c r="B142" s="120"/>
      <c r="C142" s="120"/>
      <c r="D142" s="118"/>
    </row>
    <row r="143" spans="1:4" x14ac:dyDescent="0.2">
      <c r="A143" s="93"/>
      <c r="B143" s="120"/>
      <c r="C143" s="120"/>
      <c r="D143" s="118"/>
    </row>
    <row r="144" spans="1:4" x14ac:dyDescent="0.2">
      <c r="A144" s="93"/>
      <c r="B144" s="120"/>
      <c r="C144" s="120"/>
      <c r="D144" s="118"/>
    </row>
    <row r="145" spans="1:4" x14ac:dyDescent="0.2">
      <c r="A145" s="93"/>
      <c r="B145" s="120"/>
      <c r="C145" s="120"/>
      <c r="D145" s="118"/>
    </row>
    <row r="146" spans="1:4" x14ac:dyDescent="0.2">
      <c r="A146" s="93"/>
      <c r="B146" s="120"/>
      <c r="C146" s="120"/>
      <c r="D146" s="118"/>
    </row>
    <row r="147" spans="1:4" x14ac:dyDescent="0.2">
      <c r="A147" s="93"/>
      <c r="B147" s="120"/>
      <c r="C147" s="120"/>
      <c r="D147" s="118"/>
    </row>
    <row r="148" spans="1:4" x14ac:dyDescent="0.2">
      <c r="A148" s="93"/>
      <c r="B148" s="120"/>
      <c r="C148" s="120"/>
      <c r="D148" s="118"/>
    </row>
    <row r="149" spans="1:4" x14ac:dyDescent="0.2">
      <c r="A149" s="93"/>
      <c r="B149" s="120"/>
      <c r="C149" s="120"/>
      <c r="D149" s="118"/>
    </row>
    <row r="150" spans="1:4" x14ac:dyDescent="0.2">
      <c r="A150" s="93"/>
      <c r="B150" s="120"/>
      <c r="C150" s="120"/>
      <c r="D150" s="118"/>
    </row>
    <row r="151" spans="1:4" x14ac:dyDescent="0.2">
      <c r="A151" s="93"/>
      <c r="B151" s="120"/>
      <c r="C151" s="120"/>
      <c r="D151" s="118"/>
    </row>
    <row r="152" spans="1:4" x14ac:dyDescent="0.2">
      <c r="A152" s="93"/>
      <c r="B152" s="120"/>
      <c r="C152" s="120"/>
      <c r="D152" s="118"/>
    </row>
    <row r="153" spans="1:4" x14ac:dyDescent="0.2">
      <c r="A153" s="93"/>
      <c r="B153" s="120"/>
      <c r="C153" s="120"/>
      <c r="D153" s="118"/>
    </row>
    <row r="154" spans="1:4" x14ac:dyDescent="0.2">
      <c r="A154" s="93"/>
      <c r="B154" s="120"/>
      <c r="C154" s="120"/>
      <c r="D154" s="118"/>
    </row>
    <row r="155" spans="1:4" x14ac:dyDescent="0.2">
      <c r="A155" s="93"/>
      <c r="B155" s="120"/>
      <c r="C155" s="120"/>
      <c r="D155" s="118"/>
    </row>
    <row r="156" spans="1:4" x14ac:dyDescent="0.2">
      <c r="A156" s="93"/>
      <c r="B156" s="120"/>
      <c r="C156" s="120"/>
      <c r="D156" s="118"/>
    </row>
    <row r="157" spans="1:4" x14ac:dyDescent="0.2">
      <c r="A157" s="93"/>
      <c r="B157" s="120"/>
      <c r="C157" s="120"/>
      <c r="D157" s="118"/>
    </row>
    <row r="158" spans="1:4" x14ac:dyDescent="0.2">
      <c r="A158" s="93"/>
      <c r="B158" s="120"/>
      <c r="C158" s="120"/>
      <c r="D158" s="118"/>
    </row>
    <row r="159" spans="1:4" x14ac:dyDescent="0.2">
      <c r="A159" s="93"/>
      <c r="B159" s="120"/>
      <c r="C159" s="120"/>
      <c r="D159" s="118"/>
    </row>
    <row r="160" spans="1:4" x14ac:dyDescent="0.2">
      <c r="A160" s="93"/>
      <c r="B160" s="120"/>
      <c r="C160" s="120"/>
      <c r="D160" s="118"/>
    </row>
    <row r="161" spans="1:4" x14ac:dyDescent="0.2">
      <c r="A161" s="93"/>
      <c r="B161" s="120"/>
      <c r="C161" s="120"/>
      <c r="D161" s="118"/>
    </row>
    <row r="162" spans="1:4" x14ac:dyDescent="0.2">
      <c r="A162" s="93"/>
      <c r="B162" s="120"/>
      <c r="C162" s="120"/>
      <c r="D162" s="118"/>
    </row>
    <row r="163" spans="1:4" x14ac:dyDescent="0.2">
      <c r="A163" s="93"/>
      <c r="B163" s="120"/>
      <c r="C163" s="120"/>
      <c r="D163" s="118"/>
    </row>
    <row r="164" spans="1:4" x14ac:dyDescent="0.2">
      <c r="A164" s="93"/>
      <c r="B164" s="120"/>
      <c r="C164" s="120"/>
      <c r="D164" s="118"/>
    </row>
    <row r="165" spans="1:4" x14ac:dyDescent="0.2">
      <c r="A165" s="93"/>
      <c r="B165" s="120"/>
      <c r="C165" s="120"/>
      <c r="D165" s="118"/>
    </row>
    <row r="166" spans="1:4" x14ac:dyDescent="0.2">
      <c r="A166" s="93"/>
      <c r="B166" s="120"/>
      <c r="C166" s="120"/>
      <c r="D166" s="118"/>
    </row>
    <row r="167" spans="1:4" x14ac:dyDescent="0.2">
      <c r="A167" s="93"/>
      <c r="B167" s="120"/>
      <c r="C167" s="120"/>
      <c r="D167" s="118"/>
    </row>
    <row r="168" spans="1:4" x14ac:dyDescent="0.2">
      <c r="A168" s="93"/>
      <c r="B168" s="120"/>
      <c r="C168" s="120"/>
      <c r="D168" s="118"/>
    </row>
    <row r="169" spans="1:4" x14ac:dyDescent="0.2">
      <c r="A169" s="93"/>
      <c r="B169" s="120"/>
      <c r="C169" s="120"/>
      <c r="D169" s="118"/>
    </row>
    <row r="170" spans="1:4" x14ac:dyDescent="0.2">
      <c r="A170" s="93"/>
      <c r="B170" s="120"/>
      <c r="C170" s="120"/>
      <c r="D170" s="118"/>
    </row>
    <row r="171" spans="1:4" x14ac:dyDescent="0.2">
      <c r="A171" s="93"/>
      <c r="B171" s="120"/>
      <c r="C171" s="120"/>
      <c r="D171" s="118"/>
    </row>
    <row r="172" spans="1:4" x14ac:dyDescent="0.2">
      <c r="A172" s="93"/>
      <c r="B172" s="120"/>
      <c r="C172" s="120"/>
      <c r="D172" s="118"/>
    </row>
    <row r="173" spans="1:4" x14ac:dyDescent="0.2">
      <c r="A173" s="93"/>
      <c r="B173" s="120"/>
      <c r="C173" s="120"/>
      <c r="D173" s="118"/>
    </row>
    <row r="174" spans="1:4" x14ac:dyDescent="0.2">
      <c r="A174" s="93"/>
      <c r="B174" s="120"/>
      <c r="C174" s="120"/>
      <c r="D174" s="118"/>
    </row>
    <row r="175" spans="1:4" x14ac:dyDescent="0.2">
      <c r="A175" s="93"/>
      <c r="B175" s="120"/>
      <c r="C175" s="120"/>
      <c r="D175" s="118"/>
    </row>
    <row r="176" spans="1:4" x14ac:dyDescent="0.2">
      <c r="A176" s="93"/>
      <c r="B176" s="120"/>
      <c r="C176" s="120"/>
      <c r="D176" s="118"/>
    </row>
    <row r="177" spans="1:4" x14ac:dyDescent="0.2">
      <c r="A177" s="93"/>
      <c r="B177" s="120"/>
      <c r="C177" s="120"/>
      <c r="D177" s="118"/>
    </row>
    <row r="178" spans="1:4" x14ac:dyDescent="0.2">
      <c r="A178" s="93"/>
      <c r="B178" s="120"/>
      <c r="C178" s="120"/>
      <c r="D178" s="118"/>
    </row>
    <row r="179" spans="1:4" x14ac:dyDescent="0.2">
      <c r="A179" s="93"/>
      <c r="B179" s="120"/>
      <c r="C179" s="120"/>
      <c r="D179" s="118"/>
    </row>
    <row r="180" spans="1:4" x14ac:dyDescent="0.2">
      <c r="A180" s="93"/>
      <c r="B180" s="120"/>
      <c r="C180" s="120"/>
      <c r="D180" s="118"/>
    </row>
    <row r="181" spans="1:4" x14ac:dyDescent="0.2">
      <c r="A181" s="93"/>
      <c r="B181" s="120"/>
      <c r="C181" s="120"/>
      <c r="D181" s="118"/>
    </row>
    <row r="182" spans="1:4" x14ac:dyDescent="0.2">
      <c r="A182" s="93"/>
      <c r="B182" s="120"/>
      <c r="C182" s="120"/>
      <c r="D182" s="118"/>
    </row>
    <row r="183" spans="1:4" x14ac:dyDescent="0.2">
      <c r="A183" s="93"/>
      <c r="B183" s="120"/>
      <c r="C183" s="120"/>
      <c r="D183" s="118"/>
    </row>
    <row r="184" spans="1:4" x14ac:dyDescent="0.2">
      <c r="A184" s="93"/>
      <c r="B184" s="120"/>
      <c r="C184" s="120"/>
      <c r="D184" s="118"/>
    </row>
    <row r="185" spans="1:4" x14ac:dyDescent="0.2">
      <c r="A185" s="93"/>
      <c r="B185" s="120"/>
      <c r="C185" s="120"/>
      <c r="D185" s="118"/>
    </row>
    <row r="186" spans="1:4" x14ac:dyDescent="0.2">
      <c r="A186" s="93"/>
      <c r="B186" s="120"/>
      <c r="C186" s="120"/>
      <c r="D186" s="118"/>
    </row>
    <row r="187" spans="1:4" x14ac:dyDescent="0.2">
      <c r="A187" s="93"/>
      <c r="B187" s="120"/>
      <c r="C187" s="120"/>
      <c r="D187" s="118"/>
    </row>
    <row r="188" spans="1:4" x14ac:dyDescent="0.2">
      <c r="A188" s="93"/>
      <c r="B188" s="120"/>
      <c r="C188" s="120"/>
      <c r="D188" s="118"/>
    </row>
    <row r="189" spans="1:4" x14ac:dyDescent="0.2">
      <c r="A189" s="93"/>
      <c r="B189" s="120"/>
      <c r="C189" s="120"/>
      <c r="D189" s="118"/>
    </row>
    <row r="190" spans="1:4" x14ac:dyDescent="0.2">
      <c r="A190" s="93"/>
      <c r="B190" s="120"/>
      <c r="C190" s="120"/>
      <c r="D190" s="118"/>
    </row>
    <row r="191" spans="1:4" x14ac:dyDescent="0.2">
      <c r="A191" s="93"/>
      <c r="B191" s="120"/>
      <c r="C191" s="120"/>
      <c r="D191" s="118"/>
    </row>
    <row r="192" spans="1:4" x14ac:dyDescent="0.2">
      <c r="A192" s="93"/>
      <c r="B192" s="120"/>
      <c r="C192" s="120"/>
      <c r="D192" s="118"/>
    </row>
    <row r="193" spans="1:4" x14ac:dyDescent="0.2">
      <c r="A193" s="93"/>
      <c r="B193" s="120"/>
      <c r="C193" s="120"/>
      <c r="D193" s="118"/>
    </row>
    <row r="194" spans="1:4" x14ac:dyDescent="0.2">
      <c r="A194" s="93"/>
      <c r="B194" s="120"/>
      <c r="C194" s="120"/>
      <c r="D194" s="118"/>
    </row>
    <row r="195" spans="1:4" x14ac:dyDescent="0.2">
      <c r="A195" s="93"/>
      <c r="B195" s="120"/>
      <c r="C195" s="120"/>
      <c r="D195" s="118"/>
    </row>
    <row r="196" spans="1:4" x14ac:dyDescent="0.2">
      <c r="A196" s="93"/>
      <c r="B196" s="120"/>
      <c r="C196" s="120"/>
      <c r="D196" s="118"/>
    </row>
    <row r="197" spans="1:4" x14ac:dyDescent="0.2">
      <c r="A197" s="93"/>
      <c r="B197" s="120"/>
      <c r="C197" s="120"/>
      <c r="D197" s="118"/>
    </row>
    <row r="198" spans="1:4" x14ac:dyDescent="0.2">
      <c r="A198" s="93"/>
      <c r="B198" s="120"/>
      <c r="C198" s="120"/>
      <c r="D198" s="118"/>
    </row>
    <row r="199" spans="1:4" x14ac:dyDescent="0.2">
      <c r="A199" s="93"/>
      <c r="B199" s="120"/>
      <c r="C199" s="120"/>
      <c r="D199" s="118"/>
    </row>
    <row r="200" spans="1:4" x14ac:dyDescent="0.2">
      <c r="A200" s="93"/>
      <c r="B200" s="120"/>
      <c r="C200" s="120"/>
      <c r="D200" s="118"/>
    </row>
    <row r="201" spans="1:4" x14ac:dyDescent="0.2">
      <c r="A201" s="93"/>
      <c r="B201" s="120"/>
      <c r="C201" s="120"/>
      <c r="D201" s="118"/>
    </row>
    <row r="202" spans="1:4" x14ac:dyDescent="0.2">
      <c r="A202" s="93"/>
      <c r="B202" s="120"/>
      <c r="C202" s="120"/>
      <c r="D202" s="118"/>
    </row>
    <row r="203" spans="1:4" x14ac:dyDescent="0.2">
      <c r="A203" s="93"/>
      <c r="B203" s="120"/>
      <c r="C203" s="120"/>
      <c r="D203" s="118"/>
    </row>
    <row r="204" spans="1:4" x14ac:dyDescent="0.2">
      <c r="A204" s="93"/>
      <c r="B204" s="120"/>
      <c r="C204" s="120"/>
      <c r="D204" s="118"/>
    </row>
    <row r="205" spans="1:4" x14ac:dyDescent="0.2">
      <c r="A205" s="93"/>
      <c r="B205" s="120"/>
      <c r="C205" s="120"/>
      <c r="D205" s="118"/>
    </row>
    <row r="206" spans="1:4" x14ac:dyDescent="0.2">
      <c r="A206" s="93"/>
      <c r="B206" s="120"/>
      <c r="C206" s="120"/>
      <c r="D206" s="118"/>
    </row>
    <row r="207" spans="1:4" x14ac:dyDescent="0.2">
      <c r="A207" s="93"/>
      <c r="B207" s="120"/>
      <c r="C207" s="120"/>
      <c r="D207" s="118"/>
    </row>
    <row r="208" spans="1:4" x14ac:dyDescent="0.2">
      <c r="A208" s="93"/>
      <c r="B208" s="120"/>
      <c r="C208" s="120"/>
      <c r="D208" s="118"/>
    </row>
    <row r="209" spans="1:4" x14ac:dyDescent="0.2">
      <c r="A209" s="93"/>
      <c r="B209" s="120"/>
      <c r="C209" s="120"/>
      <c r="D209" s="118"/>
    </row>
    <row r="210" spans="1:4" x14ac:dyDescent="0.2">
      <c r="A210" s="93"/>
      <c r="B210" s="120"/>
      <c r="C210" s="120"/>
      <c r="D210" s="118"/>
    </row>
    <row r="211" spans="1:4" x14ac:dyDescent="0.2">
      <c r="A211" s="93"/>
      <c r="B211" s="120"/>
      <c r="C211" s="120"/>
      <c r="D211" s="118"/>
    </row>
    <row r="212" spans="1:4" x14ac:dyDescent="0.2">
      <c r="A212" s="93"/>
      <c r="B212" s="120"/>
      <c r="C212" s="120"/>
      <c r="D212" s="118"/>
    </row>
    <row r="213" spans="1:4" x14ac:dyDescent="0.2">
      <c r="A213" s="93"/>
      <c r="B213" s="120"/>
      <c r="C213" s="120"/>
      <c r="D213" s="118"/>
    </row>
    <row r="214" spans="1:4" x14ac:dyDescent="0.2">
      <c r="A214" s="93"/>
      <c r="B214" s="120"/>
      <c r="C214" s="120"/>
      <c r="D214" s="118"/>
    </row>
    <row r="215" spans="1:4" x14ac:dyDescent="0.2">
      <c r="A215" s="93"/>
      <c r="B215" s="120"/>
      <c r="C215" s="120"/>
      <c r="D215" s="118"/>
    </row>
    <row r="216" spans="1:4" x14ac:dyDescent="0.2">
      <c r="A216" s="93"/>
      <c r="B216" s="120"/>
      <c r="C216" s="120"/>
      <c r="D216" s="118"/>
    </row>
    <row r="217" spans="1:4" x14ac:dyDescent="0.2">
      <c r="A217" s="93"/>
      <c r="B217" s="120"/>
      <c r="C217" s="120"/>
      <c r="D217" s="118"/>
    </row>
    <row r="218" spans="1:4" x14ac:dyDescent="0.2">
      <c r="A218" s="93"/>
      <c r="B218" s="120"/>
      <c r="C218" s="120"/>
      <c r="D218" s="118"/>
    </row>
    <row r="219" spans="1:4" x14ac:dyDescent="0.2">
      <c r="A219" s="93"/>
      <c r="B219" s="120"/>
      <c r="C219" s="120"/>
      <c r="D219" s="118"/>
    </row>
    <row r="220" spans="1:4" x14ac:dyDescent="0.2">
      <c r="A220" s="93"/>
      <c r="B220" s="120"/>
      <c r="C220" s="120"/>
      <c r="D220" s="118"/>
    </row>
    <row r="221" spans="1:4" x14ac:dyDescent="0.2">
      <c r="A221" s="93"/>
      <c r="B221" s="120"/>
      <c r="C221" s="120"/>
      <c r="D221" s="118"/>
    </row>
    <row r="222" spans="1:4" x14ac:dyDescent="0.2">
      <c r="A222" s="93"/>
      <c r="B222" s="120"/>
      <c r="C222" s="120"/>
      <c r="D222" s="118"/>
    </row>
    <row r="223" spans="1:4" x14ac:dyDescent="0.2">
      <c r="A223" s="93"/>
      <c r="B223" s="120"/>
      <c r="C223" s="120"/>
      <c r="D223" s="118"/>
    </row>
    <row r="224" spans="1:4" x14ac:dyDescent="0.2">
      <c r="A224" s="93"/>
      <c r="B224" s="120"/>
      <c r="C224" s="120"/>
      <c r="D224" s="118"/>
    </row>
    <row r="225" spans="1:4" x14ac:dyDescent="0.2">
      <c r="A225" s="93"/>
      <c r="B225" s="120"/>
      <c r="C225" s="120"/>
      <c r="D225" s="118"/>
    </row>
    <row r="226" spans="1:4" x14ac:dyDescent="0.2">
      <c r="A226" s="93"/>
      <c r="B226" s="120"/>
      <c r="C226" s="120"/>
      <c r="D226" s="118"/>
    </row>
    <row r="227" spans="1:4" x14ac:dyDescent="0.2">
      <c r="A227" s="93"/>
      <c r="B227" s="120"/>
      <c r="C227" s="120"/>
      <c r="D227" s="118"/>
    </row>
    <row r="228" spans="1:4" x14ac:dyDescent="0.2">
      <c r="A228" s="93"/>
      <c r="B228" s="120"/>
      <c r="C228" s="120"/>
      <c r="D228" s="118"/>
    </row>
    <row r="229" spans="1:4" x14ac:dyDescent="0.2">
      <c r="A229" s="93"/>
      <c r="B229" s="120"/>
      <c r="C229" s="120"/>
      <c r="D229" s="118"/>
    </row>
    <row r="230" spans="1:4" x14ac:dyDescent="0.2">
      <c r="A230" s="93"/>
      <c r="B230" s="120"/>
      <c r="C230" s="120"/>
      <c r="D230" s="118"/>
    </row>
    <row r="231" spans="1:4" x14ac:dyDescent="0.2">
      <c r="A231" s="93"/>
      <c r="B231" s="120"/>
      <c r="C231" s="120"/>
      <c r="D231" s="118"/>
    </row>
    <row r="232" spans="1:4" x14ac:dyDescent="0.2">
      <c r="A232" s="93"/>
      <c r="B232" s="120"/>
      <c r="C232" s="120"/>
      <c r="D232" s="118"/>
    </row>
    <row r="233" spans="1:4" x14ac:dyDescent="0.2">
      <c r="A233" s="93"/>
      <c r="B233" s="120"/>
      <c r="C233" s="120"/>
      <c r="D233" s="118"/>
    </row>
    <row r="234" spans="1:4" x14ac:dyDescent="0.2">
      <c r="A234" s="93"/>
      <c r="B234" s="120"/>
      <c r="C234" s="120"/>
      <c r="D234" s="118"/>
    </row>
    <row r="235" spans="1:4" x14ac:dyDescent="0.2">
      <c r="A235" s="93"/>
      <c r="B235" s="120"/>
      <c r="C235" s="120"/>
      <c r="D235" s="118"/>
    </row>
    <row r="236" spans="1:4" x14ac:dyDescent="0.2">
      <c r="A236" s="93"/>
      <c r="B236" s="120"/>
      <c r="C236" s="120"/>
      <c r="D236" s="118"/>
    </row>
    <row r="237" spans="1:4" x14ac:dyDescent="0.2">
      <c r="A237" s="93"/>
      <c r="B237" s="120"/>
      <c r="C237" s="120"/>
      <c r="D237" s="118"/>
    </row>
    <row r="238" spans="1:4" x14ac:dyDescent="0.2">
      <c r="A238" s="93"/>
      <c r="B238" s="120"/>
      <c r="C238" s="120"/>
      <c r="D238" s="118"/>
    </row>
    <row r="239" spans="1:4" x14ac:dyDescent="0.2">
      <c r="A239" s="93"/>
      <c r="B239" s="120"/>
      <c r="C239" s="120"/>
      <c r="D239" s="118"/>
    </row>
    <row r="240" spans="1:4" x14ac:dyDescent="0.2">
      <c r="A240" s="93"/>
      <c r="B240" s="120"/>
      <c r="C240" s="120"/>
      <c r="D240" s="118"/>
    </row>
    <row r="241" spans="1:4" x14ac:dyDescent="0.2">
      <c r="A241" s="93"/>
      <c r="B241" s="120"/>
      <c r="C241" s="120"/>
      <c r="D241" s="118"/>
    </row>
    <row r="242" spans="1:4" x14ac:dyDescent="0.2">
      <c r="A242" s="93"/>
      <c r="B242" s="120"/>
      <c r="C242" s="120"/>
      <c r="D242" s="118"/>
    </row>
    <row r="243" spans="1:4" x14ac:dyDescent="0.2">
      <c r="A243" s="93"/>
      <c r="B243" s="120"/>
      <c r="C243" s="120"/>
      <c r="D243" s="118"/>
    </row>
    <row r="244" spans="1:4" x14ac:dyDescent="0.2">
      <c r="A244" s="93"/>
      <c r="B244" s="120"/>
      <c r="C244" s="120"/>
      <c r="D244" s="118"/>
    </row>
    <row r="245" spans="1:4" x14ac:dyDescent="0.2">
      <c r="A245" s="93"/>
      <c r="B245" s="120"/>
      <c r="C245" s="120"/>
      <c r="D245" s="118"/>
    </row>
    <row r="246" spans="1:4" x14ac:dyDescent="0.2">
      <c r="A246" s="93"/>
      <c r="B246" s="120"/>
      <c r="C246" s="120"/>
      <c r="D246" s="118"/>
    </row>
    <row r="247" spans="1:4" x14ac:dyDescent="0.2">
      <c r="A247" s="93"/>
      <c r="B247" s="120"/>
      <c r="C247" s="120"/>
      <c r="D247" s="118"/>
    </row>
    <row r="248" spans="1:4" x14ac:dyDescent="0.2">
      <c r="A248" s="93"/>
      <c r="B248" s="120"/>
      <c r="C248" s="120"/>
      <c r="D248" s="118"/>
    </row>
    <row r="249" spans="1:4" x14ac:dyDescent="0.2">
      <c r="A249" s="93"/>
      <c r="B249" s="120"/>
      <c r="C249" s="120"/>
      <c r="D249" s="118"/>
    </row>
    <row r="250" spans="1:4" x14ac:dyDescent="0.2">
      <c r="A250" s="93"/>
      <c r="B250" s="120"/>
      <c r="C250" s="120"/>
      <c r="D250" s="118"/>
    </row>
    <row r="251" spans="1:4" x14ac:dyDescent="0.2">
      <c r="A251" s="93"/>
      <c r="B251" s="120"/>
      <c r="C251" s="120"/>
      <c r="D251" s="118"/>
    </row>
    <row r="252" spans="1:4" x14ac:dyDescent="0.2">
      <c r="A252" s="93"/>
      <c r="B252" s="120"/>
      <c r="C252" s="120"/>
      <c r="D252" s="118"/>
    </row>
    <row r="253" spans="1:4" x14ac:dyDescent="0.2">
      <c r="A253" s="93"/>
      <c r="B253" s="120"/>
      <c r="C253" s="120"/>
      <c r="D253" s="118"/>
    </row>
    <row r="254" spans="1:4" x14ac:dyDescent="0.2">
      <c r="A254" s="93"/>
      <c r="B254" s="120"/>
      <c r="C254" s="120"/>
      <c r="D254" s="118"/>
    </row>
    <row r="255" spans="1:4" x14ac:dyDescent="0.2">
      <c r="A255" s="93"/>
      <c r="B255" s="120"/>
      <c r="C255" s="120"/>
      <c r="D255" s="118"/>
    </row>
    <row r="256" spans="1:4" x14ac:dyDescent="0.2">
      <c r="A256" s="93"/>
      <c r="B256" s="120"/>
      <c r="C256" s="120"/>
      <c r="D256" s="118"/>
    </row>
    <row r="257" spans="1:4" x14ac:dyDescent="0.2">
      <c r="A257" s="93"/>
      <c r="B257" s="120"/>
      <c r="C257" s="120"/>
      <c r="D257" s="118"/>
    </row>
    <row r="258" spans="1:4" x14ac:dyDescent="0.2">
      <c r="A258" s="93"/>
      <c r="B258" s="120"/>
      <c r="C258" s="120"/>
      <c r="D258" s="118"/>
    </row>
    <row r="259" spans="1:4" x14ac:dyDescent="0.2">
      <c r="A259" s="93"/>
      <c r="B259" s="120"/>
      <c r="C259" s="120"/>
      <c r="D259" s="118"/>
    </row>
    <row r="260" spans="1:4" x14ac:dyDescent="0.2">
      <c r="A260" s="93"/>
      <c r="B260" s="120"/>
      <c r="C260" s="120"/>
      <c r="D260" s="118"/>
    </row>
    <row r="261" spans="1:4" x14ac:dyDescent="0.2">
      <c r="A261" s="93"/>
      <c r="B261" s="120"/>
      <c r="C261" s="120"/>
      <c r="D261" s="118"/>
    </row>
    <row r="262" spans="1:4" x14ac:dyDescent="0.2">
      <c r="A262" s="93"/>
      <c r="B262" s="120"/>
      <c r="C262" s="120"/>
      <c r="D262" s="118"/>
    </row>
    <row r="263" spans="1:4" x14ac:dyDescent="0.2">
      <c r="A263" s="93"/>
      <c r="B263" s="120"/>
      <c r="C263" s="120"/>
      <c r="D263" s="118"/>
    </row>
    <row r="264" spans="1:4" x14ac:dyDescent="0.2">
      <c r="A264" s="93"/>
      <c r="B264" s="120"/>
      <c r="C264" s="120"/>
      <c r="D264" s="118"/>
    </row>
    <row r="265" spans="1:4" x14ac:dyDescent="0.2">
      <c r="A265" s="93"/>
      <c r="B265" s="120"/>
      <c r="C265" s="120"/>
      <c r="D265" s="118"/>
    </row>
    <row r="266" spans="1:4" x14ac:dyDescent="0.2">
      <c r="A266" s="93"/>
      <c r="B266" s="120"/>
      <c r="C266" s="120"/>
      <c r="D266" s="118"/>
    </row>
    <row r="267" spans="1:4" x14ac:dyDescent="0.2">
      <c r="A267" s="93"/>
      <c r="B267" s="120"/>
      <c r="C267" s="120"/>
      <c r="D267" s="118"/>
    </row>
    <row r="268" spans="1:4" x14ac:dyDescent="0.2">
      <c r="A268" s="93"/>
      <c r="B268" s="120"/>
      <c r="C268" s="120"/>
      <c r="D268" s="118"/>
    </row>
    <row r="269" spans="1:4" x14ac:dyDescent="0.2">
      <c r="A269" s="93"/>
      <c r="B269" s="120"/>
      <c r="C269" s="120"/>
      <c r="D269" s="118"/>
    </row>
    <row r="270" spans="1:4" x14ac:dyDescent="0.2">
      <c r="A270" s="93"/>
      <c r="B270" s="120"/>
      <c r="C270" s="120"/>
      <c r="D270" s="118"/>
    </row>
    <row r="271" spans="1:4" x14ac:dyDescent="0.2">
      <c r="A271" s="93"/>
      <c r="B271" s="120"/>
      <c r="C271" s="120"/>
      <c r="D271" s="118"/>
    </row>
    <row r="272" spans="1:4" x14ac:dyDescent="0.2">
      <c r="A272" s="93"/>
      <c r="B272" s="120"/>
      <c r="C272" s="120"/>
      <c r="D272" s="118"/>
    </row>
    <row r="273" spans="1:4" x14ac:dyDescent="0.2">
      <c r="A273" s="93"/>
      <c r="B273" s="120"/>
      <c r="C273" s="120"/>
      <c r="D273" s="118"/>
    </row>
    <row r="274" spans="1:4" x14ac:dyDescent="0.2">
      <c r="A274" s="93"/>
      <c r="B274" s="120"/>
      <c r="C274" s="120"/>
      <c r="D274" s="118"/>
    </row>
    <row r="275" spans="1:4" x14ac:dyDescent="0.2">
      <c r="A275" s="93"/>
      <c r="B275" s="120"/>
      <c r="C275" s="120"/>
      <c r="D275" s="118"/>
    </row>
    <row r="276" spans="1:4" x14ac:dyDescent="0.2">
      <c r="A276" s="93"/>
      <c r="B276" s="120"/>
      <c r="C276" s="120"/>
      <c r="D276" s="118"/>
    </row>
    <row r="277" spans="1:4" x14ac:dyDescent="0.2">
      <c r="A277" s="93"/>
      <c r="B277" s="120"/>
      <c r="C277" s="120"/>
      <c r="D277" s="118"/>
    </row>
    <row r="278" spans="1:4" x14ac:dyDescent="0.2">
      <c r="A278" s="93"/>
      <c r="B278" s="120"/>
      <c r="C278" s="120"/>
      <c r="D278" s="118"/>
    </row>
    <row r="279" spans="1:4" x14ac:dyDescent="0.2">
      <c r="A279" s="93"/>
      <c r="B279" s="120"/>
      <c r="C279" s="120"/>
      <c r="D279" s="118"/>
    </row>
    <row r="280" spans="1:4" x14ac:dyDescent="0.2">
      <c r="A280" s="93"/>
      <c r="B280" s="120"/>
      <c r="C280" s="120"/>
      <c r="D280" s="118"/>
    </row>
    <row r="281" spans="1:4" x14ac:dyDescent="0.2">
      <c r="A281" s="93"/>
      <c r="B281" s="120"/>
      <c r="C281" s="120"/>
      <c r="D281" s="118"/>
    </row>
    <row r="282" spans="1:4" x14ac:dyDescent="0.2">
      <c r="A282" s="93"/>
      <c r="B282" s="120"/>
      <c r="C282" s="120"/>
      <c r="D282" s="118"/>
    </row>
    <row r="283" spans="1:4" x14ac:dyDescent="0.2">
      <c r="A283" s="93"/>
      <c r="B283" s="120"/>
      <c r="C283" s="120"/>
      <c r="D283" s="118"/>
    </row>
    <row r="284" spans="1:4" x14ac:dyDescent="0.2">
      <c r="A284" s="93"/>
      <c r="B284" s="120"/>
      <c r="C284" s="120"/>
      <c r="D284" s="118"/>
    </row>
    <row r="285" spans="1:4" x14ac:dyDescent="0.2">
      <c r="A285" s="93"/>
      <c r="B285" s="120"/>
      <c r="C285" s="120"/>
      <c r="D285" s="118"/>
    </row>
    <row r="286" spans="1:4" x14ac:dyDescent="0.2">
      <c r="A286" s="93"/>
      <c r="B286" s="120"/>
      <c r="C286" s="120"/>
      <c r="D286" s="118"/>
    </row>
    <row r="287" spans="1:4" x14ac:dyDescent="0.2">
      <c r="A287" s="93"/>
      <c r="B287" s="120"/>
      <c r="C287" s="120"/>
      <c r="D287" s="118"/>
    </row>
    <row r="288" spans="1:4" x14ac:dyDescent="0.2">
      <c r="A288" s="93"/>
      <c r="B288" s="120"/>
      <c r="C288" s="120"/>
      <c r="D288" s="118"/>
    </row>
    <row r="289" spans="1:4" x14ac:dyDescent="0.2">
      <c r="A289" s="93"/>
      <c r="B289" s="120"/>
      <c r="C289" s="120"/>
      <c r="D289" s="118"/>
    </row>
    <row r="290" spans="1:4" x14ac:dyDescent="0.2">
      <c r="A290" s="93"/>
      <c r="B290" s="120"/>
      <c r="C290" s="120"/>
      <c r="D290" s="118"/>
    </row>
    <row r="291" spans="1:4" x14ac:dyDescent="0.2">
      <c r="A291" s="93"/>
      <c r="B291" s="120"/>
      <c r="C291" s="120"/>
      <c r="D291" s="118"/>
    </row>
    <row r="292" spans="1:4" x14ac:dyDescent="0.2">
      <c r="A292" s="93"/>
      <c r="B292" s="120"/>
      <c r="C292" s="120"/>
      <c r="D292" s="118"/>
    </row>
    <row r="293" spans="1:4" x14ac:dyDescent="0.2">
      <c r="A293" s="93"/>
      <c r="B293" s="120"/>
      <c r="C293" s="120"/>
      <c r="D293" s="118"/>
    </row>
    <row r="294" spans="1:4" x14ac:dyDescent="0.2">
      <c r="A294" s="93"/>
      <c r="B294" s="120"/>
      <c r="C294" s="120"/>
      <c r="D294" s="118"/>
    </row>
    <row r="295" spans="1:4" x14ac:dyDescent="0.2">
      <c r="A295" s="93"/>
      <c r="B295" s="120"/>
      <c r="C295" s="120"/>
      <c r="D295" s="118"/>
    </row>
    <row r="296" spans="1:4" x14ac:dyDescent="0.2">
      <c r="A296" s="93"/>
      <c r="B296" s="120"/>
      <c r="C296" s="120"/>
      <c r="D296" s="118"/>
    </row>
    <row r="297" spans="1:4" x14ac:dyDescent="0.2">
      <c r="A297" s="93"/>
      <c r="B297" s="120"/>
      <c r="C297" s="120"/>
      <c r="D297" s="118"/>
    </row>
    <row r="298" spans="1:4" x14ac:dyDescent="0.2">
      <c r="A298" s="93"/>
      <c r="B298" s="120"/>
      <c r="C298" s="120"/>
      <c r="D298" s="118"/>
    </row>
    <row r="299" spans="1:4" x14ac:dyDescent="0.2">
      <c r="A299" s="93"/>
      <c r="B299" s="120"/>
      <c r="C299" s="120"/>
      <c r="D299" s="118"/>
    </row>
    <row r="300" spans="1:4" x14ac:dyDescent="0.2">
      <c r="A300" s="93"/>
      <c r="B300" s="120"/>
      <c r="C300" s="120"/>
      <c r="D300" s="118"/>
    </row>
    <row r="301" spans="1:4" x14ac:dyDescent="0.2">
      <c r="A301" s="93"/>
      <c r="B301" s="120"/>
      <c r="C301" s="120"/>
      <c r="D301" s="118"/>
    </row>
    <row r="302" spans="1:4" x14ac:dyDescent="0.2">
      <c r="A302" s="93"/>
      <c r="B302" s="120"/>
      <c r="C302" s="120"/>
      <c r="D302" s="118"/>
    </row>
    <row r="303" spans="1:4" x14ac:dyDescent="0.2">
      <c r="A303" s="93"/>
      <c r="B303" s="120"/>
      <c r="C303" s="120"/>
      <c r="D303" s="118"/>
    </row>
    <row r="304" spans="1:4" x14ac:dyDescent="0.2">
      <c r="A304" s="93"/>
      <c r="B304" s="120"/>
      <c r="C304" s="120"/>
      <c r="D304" s="118"/>
    </row>
    <row r="305" spans="1:4" x14ac:dyDescent="0.2">
      <c r="A305" s="93"/>
      <c r="B305" s="120"/>
      <c r="C305" s="120"/>
      <c r="D305" s="118"/>
    </row>
    <row r="306" spans="1:4" x14ac:dyDescent="0.2">
      <c r="A306" s="93"/>
      <c r="B306" s="120"/>
      <c r="C306" s="120"/>
      <c r="D306" s="118"/>
    </row>
    <row r="307" spans="1:4" x14ac:dyDescent="0.2">
      <c r="A307" s="93"/>
      <c r="B307" s="120"/>
      <c r="C307" s="120"/>
      <c r="D307" s="118"/>
    </row>
    <row r="308" spans="1:4" x14ac:dyDescent="0.2">
      <c r="A308" s="93"/>
      <c r="B308" s="120"/>
      <c r="C308" s="120"/>
      <c r="D308" s="118"/>
    </row>
    <row r="309" spans="1:4" x14ac:dyDescent="0.2">
      <c r="A309" s="93"/>
      <c r="B309" s="120"/>
      <c r="C309" s="120"/>
      <c r="D309" s="118"/>
    </row>
    <row r="310" spans="1:4" x14ac:dyDescent="0.2">
      <c r="A310" s="93"/>
      <c r="B310" s="120"/>
      <c r="C310" s="120"/>
      <c r="D310" s="118"/>
    </row>
    <row r="311" spans="1:4" x14ac:dyDescent="0.2">
      <c r="A311" s="93"/>
      <c r="B311" s="120"/>
      <c r="C311" s="120"/>
      <c r="D311" s="118"/>
    </row>
    <row r="312" spans="1:4" x14ac:dyDescent="0.2">
      <c r="A312" s="93"/>
      <c r="B312" s="120"/>
      <c r="C312" s="120"/>
      <c r="D312" s="118"/>
    </row>
    <row r="313" spans="1:4" x14ac:dyDescent="0.2">
      <c r="A313" s="93"/>
      <c r="B313" s="120"/>
      <c r="C313" s="120"/>
      <c r="D313" s="118"/>
    </row>
    <row r="314" spans="1:4" x14ac:dyDescent="0.2">
      <c r="A314" s="93"/>
      <c r="B314" s="120"/>
      <c r="C314" s="120"/>
      <c r="D314" s="118"/>
    </row>
    <row r="315" spans="1:4" x14ac:dyDescent="0.2">
      <c r="A315" s="93"/>
      <c r="B315" s="120"/>
      <c r="C315" s="120"/>
      <c r="D315" s="118"/>
    </row>
    <row r="316" spans="1:4" x14ac:dyDescent="0.2">
      <c r="A316" s="93"/>
      <c r="B316" s="120"/>
      <c r="C316" s="120"/>
      <c r="D316" s="118"/>
    </row>
    <row r="317" spans="1:4" x14ac:dyDescent="0.2">
      <c r="A317" s="93"/>
      <c r="B317" s="120"/>
      <c r="C317" s="120"/>
      <c r="D317" s="118"/>
    </row>
    <row r="318" spans="1:4" x14ac:dyDescent="0.2">
      <c r="A318" s="93"/>
      <c r="B318" s="120"/>
      <c r="C318" s="120"/>
      <c r="D318" s="118"/>
    </row>
    <row r="319" spans="1:4" x14ac:dyDescent="0.2">
      <c r="A319" s="93"/>
      <c r="B319" s="120"/>
      <c r="C319" s="120"/>
      <c r="D319" s="118"/>
    </row>
    <row r="320" spans="1:4" x14ac:dyDescent="0.2">
      <c r="A320" s="93"/>
      <c r="B320" s="120"/>
      <c r="C320" s="120"/>
      <c r="D320" s="118"/>
    </row>
    <row r="321" spans="1:4" x14ac:dyDescent="0.2">
      <c r="A321" s="93"/>
      <c r="B321" s="120"/>
      <c r="C321" s="120"/>
      <c r="D321" s="118"/>
    </row>
    <row r="322" spans="1:4" x14ac:dyDescent="0.2">
      <c r="A322" s="93"/>
      <c r="B322" s="120"/>
      <c r="C322" s="120"/>
      <c r="D322" s="118"/>
    </row>
    <row r="323" spans="1:4" x14ac:dyDescent="0.2">
      <c r="A323" s="93"/>
      <c r="B323" s="120"/>
      <c r="C323" s="120"/>
      <c r="D323" s="118"/>
    </row>
    <row r="324" spans="1:4" x14ac:dyDescent="0.2">
      <c r="A324" s="93"/>
      <c r="B324" s="120"/>
      <c r="C324" s="120"/>
      <c r="D324" s="118"/>
    </row>
    <row r="325" spans="1:4" x14ac:dyDescent="0.2">
      <c r="A325" s="93"/>
      <c r="B325" s="120"/>
      <c r="C325" s="120"/>
      <c r="D325" s="118"/>
    </row>
    <row r="326" spans="1:4" x14ac:dyDescent="0.2">
      <c r="A326" s="93"/>
      <c r="B326" s="120"/>
      <c r="C326" s="120"/>
      <c r="D326" s="118"/>
    </row>
    <row r="327" spans="1:4" x14ac:dyDescent="0.2">
      <c r="A327" s="93"/>
      <c r="B327" s="120"/>
      <c r="C327" s="120"/>
      <c r="D327" s="118"/>
    </row>
    <row r="328" spans="1:4" x14ac:dyDescent="0.2">
      <c r="A328" s="93"/>
      <c r="B328" s="120"/>
      <c r="C328" s="120"/>
      <c r="D328" s="118"/>
    </row>
    <row r="329" spans="1:4" x14ac:dyDescent="0.2">
      <c r="A329" s="93"/>
      <c r="B329" s="120"/>
      <c r="C329" s="120"/>
      <c r="D329" s="118"/>
    </row>
    <row r="330" spans="1:4" x14ac:dyDescent="0.2">
      <c r="A330" s="93"/>
      <c r="B330" s="120"/>
      <c r="C330" s="120"/>
      <c r="D330" s="118"/>
    </row>
    <row r="331" spans="1:4" x14ac:dyDescent="0.2">
      <c r="A331" s="93"/>
      <c r="B331" s="120"/>
      <c r="C331" s="120"/>
      <c r="D331" s="118"/>
    </row>
    <row r="332" spans="1:4" x14ac:dyDescent="0.2">
      <c r="A332" s="93"/>
      <c r="B332" s="120"/>
      <c r="C332" s="120"/>
      <c r="D332" s="118"/>
    </row>
    <row r="333" spans="1:4" x14ac:dyDescent="0.2">
      <c r="A333" s="93"/>
      <c r="B333" s="120"/>
      <c r="C333" s="120"/>
      <c r="D333" s="118"/>
    </row>
    <row r="334" spans="1:4" x14ac:dyDescent="0.2">
      <c r="A334" s="93"/>
      <c r="B334" s="120"/>
      <c r="C334" s="120"/>
      <c r="D334" s="118"/>
    </row>
    <row r="335" spans="1:4" x14ac:dyDescent="0.2">
      <c r="A335" s="93"/>
      <c r="B335" s="120"/>
      <c r="C335" s="120"/>
      <c r="D335" s="118"/>
    </row>
    <row r="336" spans="1:4" x14ac:dyDescent="0.2">
      <c r="A336" s="93"/>
      <c r="B336" s="120"/>
      <c r="C336" s="120"/>
      <c r="D336" s="118"/>
    </row>
    <row r="337" spans="1:4" x14ac:dyDescent="0.2">
      <c r="A337" s="93"/>
      <c r="B337" s="120"/>
      <c r="C337" s="120"/>
      <c r="D337" s="118"/>
    </row>
    <row r="338" spans="1:4" x14ac:dyDescent="0.2">
      <c r="A338" s="93"/>
      <c r="B338" s="120"/>
      <c r="C338" s="120"/>
      <c r="D338" s="118"/>
    </row>
    <row r="339" spans="1:4" x14ac:dyDescent="0.2">
      <c r="A339" s="93"/>
      <c r="B339" s="120"/>
      <c r="C339" s="120"/>
      <c r="D339" s="118"/>
    </row>
    <row r="340" spans="1:4" x14ac:dyDescent="0.2">
      <c r="A340" s="93"/>
      <c r="B340" s="120"/>
      <c r="C340" s="120"/>
      <c r="D340" s="118"/>
    </row>
    <row r="341" spans="1:4" x14ac:dyDescent="0.2">
      <c r="A341" s="93"/>
      <c r="B341" s="120"/>
      <c r="C341" s="120"/>
      <c r="D341" s="118"/>
    </row>
    <row r="342" spans="1:4" x14ac:dyDescent="0.2">
      <c r="A342" s="93"/>
      <c r="B342" s="120"/>
      <c r="C342" s="120"/>
      <c r="D342" s="118"/>
    </row>
    <row r="343" spans="1:4" x14ac:dyDescent="0.2">
      <c r="A343" s="93"/>
      <c r="B343" s="120"/>
      <c r="C343" s="120"/>
      <c r="D343" s="118"/>
    </row>
    <row r="344" spans="1:4" x14ac:dyDescent="0.2">
      <c r="A344" s="93"/>
      <c r="B344" s="120"/>
      <c r="C344" s="120"/>
      <c r="D344" s="118"/>
    </row>
    <row r="345" spans="1:4" x14ac:dyDescent="0.2">
      <c r="A345" s="93"/>
      <c r="B345" s="120"/>
      <c r="C345" s="120"/>
      <c r="D345" s="118"/>
    </row>
    <row r="346" spans="1:4" x14ac:dyDescent="0.2">
      <c r="A346" s="93"/>
      <c r="B346" s="120"/>
      <c r="C346" s="120"/>
      <c r="D346" s="118"/>
    </row>
    <row r="347" spans="1:4" x14ac:dyDescent="0.2">
      <c r="A347" s="93"/>
      <c r="B347" s="120"/>
      <c r="C347" s="120"/>
      <c r="D347" s="118"/>
    </row>
    <row r="348" spans="1:4" x14ac:dyDescent="0.2">
      <c r="A348" s="93"/>
      <c r="B348" s="120"/>
      <c r="C348" s="120"/>
      <c r="D348" s="118"/>
    </row>
    <row r="349" spans="1:4" x14ac:dyDescent="0.2">
      <c r="A349" s="93"/>
      <c r="B349" s="120"/>
      <c r="C349" s="120"/>
      <c r="D349" s="118"/>
    </row>
    <row r="350" spans="1:4" x14ac:dyDescent="0.2">
      <c r="A350" s="93"/>
      <c r="B350" s="120"/>
      <c r="C350" s="120"/>
      <c r="D350" s="118"/>
    </row>
    <row r="351" spans="1:4" x14ac:dyDescent="0.2">
      <c r="A351" s="93"/>
      <c r="B351" s="120"/>
      <c r="C351" s="120"/>
      <c r="D351" s="118"/>
    </row>
    <row r="352" spans="1:4" x14ac:dyDescent="0.2">
      <c r="A352" s="93"/>
      <c r="B352" s="120"/>
      <c r="C352" s="120"/>
      <c r="D352" s="118"/>
    </row>
    <row r="353" spans="1:4" x14ac:dyDescent="0.2">
      <c r="A353" s="93"/>
      <c r="B353" s="120"/>
      <c r="C353" s="120"/>
      <c r="D353" s="118"/>
    </row>
    <row r="354" spans="1:4" x14ac:dyDescent="0.2">
      <c r="A354" s="93"/>
      <c r="B354" s="120"/>
      <c r="C354" s="120"/>
      <c r="D354" s="118"/>
    </row>
    <row r="355" spans="1:4" x14ac:dyDescent="0.2">
      <c r="A355" s="93"/>
      <c r="B355" s="120"/>
      <c r="C355" s="120"/>
      <c r="D355" s="118"/>
    </row>
    <row r="356" spans="1:4" x14ac:dyDescent="0.2">
      <c r="A356" s="93"/>
      <c r="B356" s="120"/>
      <c r="C356" s="120"/>
      <c r="D356" s="118"/>
    </row>
    <row r="357" spans="1:4" x14ac:dyDescent="0.2">
      <c r="A357" s="93"/>
      <c r="B357" s="120"/>
      <c r="C357" s="120"/>
      <c r="D357" s="118"/>
    </row>
    <row r="358" spans="1:4" x14ac:dyDescent="0.2">
      <c r="A358" s="93"/>
      <c r="B358" s="120"/>
      <c r="C358" s="120"/>
      <c r="D358" s="118"/>
    </row>
    <row r="359" spans="1:4" x14ac:dyDescent="0.2">
      <c r="A359" s="93"/>
      <c r="B359" s="120"/>
      <c r="C359" s="120"/>
      <c r="D359" s="118"/>
    </row>
    <row r="360" spans="1:4" x14ac:dyDescent="0.2">
      <c r="A360" s="93"/>
      <c r="B360" s="120"/>
      <c r="C360" s="120"/>
      <c r="D360" s="118"/>
    </row>
    <row r="361" spans="1:4" x14ac:dyDescent="0.2">
      <c r="A361" s="93"/>
      <c r="B361" s="120"/>
      <c r="C361" s="120"/>
      <c r="D361" s="118"/>
    </row>
    <row r="362" spans="1:4" x14ac:dyDescent="0.2">
      <c r="A362" s="93"/>
      <c r="B362" s="120"/>
      <c r="C362" s="120"/>
      <c r="D362" s="118"/>
    </row>
    <row r="363" spans="1:4" x14ac:dyDescent="0.2">
      <c r="A363" s="93"/>
      <c r="B363" s="120"/>
      <c r="C363" s="120"/>
      <c r="D363" s="118"/>
    </row>
    <row r="364" spans="1:4" x14ac:dyDescent="0.2">
      <c r="A364" s="93"/>
      <c r="B364" s="120"/>
      <c r="C364" s="120"/>
      <c r="D364" s="118"/>
    </row>
    <row r="365" spans="1:4" x14ac:dyDescent="0.2">
      <c r="A365" s="93"/>
      <c r="B365" s="120"/>
      <c r="C365" s="120"/>
      <c r="D365" s="118"/>
    </row>
    <row r="366" spans="1:4" x14ac:dyDescent="0.2">
      <c r="A366" s="93"/>
      <c r="B366" s="120"/>
      <c r="C366" s="120"/>
      <c r="D366" s="118"/>
    </row>
    <row r="367" spans="1:4" x14ac:dyDescent="0.2">
      <c r="A367" s="93"/>
      <c r="B367" s="120"/>
      <c r="C367" s="120"/>
      <c r="D367" s="118"/>
    </row>
    <row r="368" spans="1:4" x14ac:dyDescent="0.2">
      <c r="A368" s="93"/>
      <c r="B368" s="120"/>
      <c r="C368" s="120"/>
      <c r="D368" s="118"/>
    </row>
    <row r="369" spans="1:4" x14ac:dyDescent="0.2">
      <c r="A369" s="93"/>
      <c r="B369" s="120"/>
      <c r="C369" s="120"/>
      <c r="D369" s="118"/>
    </row>
    <row r="370" spans="1:4" x14ac:dyDescent="0.2">
      <c r="A370" s="93"/>
      <c r="B370" s="120"/>
      <c r="C370" s="120"/>
      <c r="D370" s="118"/>
    </row>
    <row r="371" spans="1:4" x14ac:dyDescent="0.2">
      <c r="A371" s="93"/>
      <c r="B371" s="120"/>
      <c r="C371" s="120"/>
      <c r="D371" s="118"/>
    </row>
    <row r="372" spans="1:4" x14ac:dyDescent="0.2">
      <c r="A372" s="93"/>
      <c r="B372" s="120"/>
      <c r="C372" s="120"/>
      <c r="D372" s="118"/>
    </row>
    <row r="373" spans="1:4" x14ac:dyDescent="0.2">
      <c r="A373" s="93"/>
      <c r="B373" s="120"/>
      <c r="C373" s="120"/>
      <c r="D373" s="118"/>
    </row>
    <row r="374" spans="1:4" x14ac:dyDescent="0.2">
      <c r="A374" s="93"/>
      <c r="B374" s="120"/>
      <c r="C374" s="120"/>
      <c r="D374" s="118"/>
    </row>
    <row r="375" spans="1:4" x14ac:dyDescent="0.2">
      <c r="A375" s="93"/>
      <c r="B375" s="120"/>
      <c r="C375" s="120"/>
      <c r="D375" s="118"/>
    </row>
    <row r="376" spans="1:4" x14ac:dyDescent="0.2">
      <c r="A376" s="93"/>
      <c r="B376" s="120"/>
      <c r="C376" s="120"/>
      <c r="D376" s="118"/>
    </row>
    <row r="377" spans="1:4" x14ac:dyDescent="0.2">
      <c r="A377" s="93"/>
      <c r="B377" s="120"/>
      <c r="C377" s="120"/>
      <c r="D377" s="118"/>
    </row>
    <row r="378" spans="1:4" x14ac:dyDescent="0.2">
      <c r="A378" s="93"/>
      <c r="B378" s="120"/>
      <c r="C378" s="120"/>
      <c r="D378" s="118"/>
    </row>
    <row r="379" spans="1:4" x14ac:dyDescent="0.2">
      <c r="A379" s="93"/>
      <c r="B379" s="120"/>
      <c r="C379" s="120"/>
      <c r="D379" s="118"/>
    </row>
    <row r="380" spans="1:4" x14ac:dyDescent="0.2">
      <c r="A380" s="93"/>
      <c r="B380" s="120"/>
      <c r="C380" s="120"/>
      <c r="D380" s="118"/>
    </row>
    <row r="381" spans="1:4" x14ac:dyDescent="0.2">
      <c r="A381" s="93"/>
      <c r="B381" s="120"/>
      <c r="C381" s="120"/>
      <c r="D381" s="118"/>
    </row>
    <row r="382" spans="1:4" x14ac:dyDescent="0.2">
      <c r="A382" s="93"/>
      <c r="B382" s="120"/>
      <c r="C382" s="120"/>
      <c r="D382" s="118"/>
    </row>
    <row r="383" spans="1:4" x14ac:dyDescent="0.2">
      <c r="A383" s="93"/>
      <c r="B383" s="120"/>
      <c r="C383" s="120"/>
      <c r="D383" s="118"/>
    </row>
    <row r="384" spans="1:4" x14ac:dyDescent="0.2">
      <c r="A384" s="93"/>
      <c r="B384" s="120"/>
      <c r="C384" s="120"/>
      <c r="D384" s="118"/>
    </row>
    <row r="385" spans="1:4" x14ac:dyDescent="0.2">
      <c r="A385" s="93"/>
      <c r="B385" s="120"/>
      <c r="C385" s="120"/>
      <c r="D385" s="118"/>
    </row>
    <row r="386" spans="1:4" x14ac:dyDescent="0.2">
      <c r="A386" s="93"/>
      <c r="B386" s="120"/>
      <c r="C386" s="120"/>
      <c r="D386" s="118"/>
    </row>
    <row r="387" spans="1:4" x14ac:dyDescent="0.2">
      <c r="A387" s="93"/>
      <c r="B387" s="120"/>
      <c r="C387" s="120"/>
      <c r="D387" s="118"/>
    </row>
    <row r="388" spans="1:4" x14ac:dyDescent="0.2">
      <c r="A388" s="93"/>
      <c r="B388" s="120"/>
      <c r="C388" s="120"/>
      <c r="D388" s="118"/>
    </row>
    <row r="389" spans="1:4" x14ac:dyDescent="0.2">
      <c r="A389" s="93"/>
      <c r="B389" s="120"/>
      <c r="C389" s="120"/>
      <c r="D389" s="118"/>
    </row>
    <row r="390" spans="1:4" x14ac:dyDescent="0.2">
      <c r="A390" s="93"/>
      <c r="B390" s="120"/>
      <c r="C390" s="120"/>
      <c r="D390" s="118"/>
    </row>
    <row r="391" spans="1:4" x14ac:dyDescent="0.2">
      <c r="A391" s="93"/>
      <c r="B391" s="120"/>
      <c r="C391" s="120"/>
      <c r="D391" s="118"/>
    </row>
    <row r="392" spans="1:4" x14ac:dyDescent="0.2">
      <c r="A392" s="93"/>
      <c r="B392" s="120"/>
      <c r="C392" s="120"/>
      <c r="D392" s="118"/>
    </row>
    <row r="393" spans="1:4" x14ac:dyDescent="0.2">
      <c r="A393" s="93"/>
      <c r="B393" s="120"/>
      <c r="C393" s="120"/>
      <c r="D393" s="118"/>
    </row>
    <row r="394" spans="1:4" x14ac:dyDescent="0.2">
      <c r="A394" s="93"/>
      <c r="B394" s="120"/>
      <c r="C394" s="120"/>
      <c r="D394" s="118"/>
    </row>
    <row r="395" spans="1:4" x14ac:dyDescent="0.2">
      <c r="A395" s="93"/>
      <c r="B395" s="120"/>
      <c r="C395" s="120"/>
      <c r="D395" s="118"/>
    </row>
    <row r="396" spans="1:4" x14ac:dyDescent="0.2">
      <c r="A396" s="93"/>
      <c r="B396" s="120"/>
      <c r="C396" s="120"/>
      <c r="D396" s="118"/>
    </row>
    <row r="397" spans="1:4" x14ac:dyDescent="0.2">
      <c r="A397" s="93"/>
      <c r="B397" s="120"/>
      <c r="C397" s="120"/>
      <c r="D397" s="118"/>
    </row>
    <row r="398" spans="1:4" x14ac:dyDescent="0.2">
      <c r="A398" s="93"/>
      <c r="B398" s="120"/>
      <c r="C398" s="120"/>
      <c r="D398" s="118"/>
    </row>
    <row r="399" spans="1:4" x14ac:dyDescent="0.2">
      <c r="A399" s="93"/>
      <c r="B399" s="120"/>
      <c r="C399" s="120"/>
      <c r="D399" s="118"/>
    </row>
    <row r="400" spans="1:4" x14ac:dyDescent="0.2">
      <c r="A400" s="93"/>
      <c r="B400" s="120"/>
      <c r="C400" s="120"/>
      <c r="D400" s="118"/>
    </row>
    <row r="401" spans="1:4" x14ac:dyDescent="0.2">
      <c r="A401" s="93"/>
      <c r="B401" s="120"/>
      <c r="C401" s="120"/>
      <c r="D401" s="118"/>
    </row>
    <row r="402" spans="1:4" x14ac:dyDescent="0.2">
      <c r="A402" s="93"/>
      <c r="B402" s="120"/>
      <c r="C402" s="120"/>
      <c r="D402" s="118"/>
    </row>
    <row r="403" spans="1:4" x14ac:dyDescent="0.2">
      <c r="A403" s="93"/>
      <c r="B403" s="120"/>
      <c r="C403" s="120"/>
      <c r="D403" s="118"/>
    </row>
    <row r="404" spans="1:4" x14ac:dyDescent="0.2">
      <c r="A404" s="93"/>
      <c r="B404" s="120"/>
      <c r="C404" s="120"/>
      <c r="D404" s="118"/>
    </row>
    <row r="405" spans="1:4" x14ac:dyDescent="0.2">
      <c r="A405" s="93"/>
      <c r="B405" s="120"/>
      <c r="C405" s="120"/>
      <c r="D405" s="118"/>
    </row>
    <row r="406" spans="1:4" x14ac:dyDescent="0.2">
      <c r="A406" s="93"/>
      <c r="B406" s="120"/>
      <c r="C406" s="120"/>
      <c r="D406" s="118"/>
    </row>
    <row r="407" spans="1:4" x14ac:dyDescent="0.2">
      <c r="A407" s="93"/>
      <c r="B407" s="120"/>
      <c r="C407" s="120"/>
      <c r="D407" s="118"/>
    </row>
    <row r="408" spans="1:4" x14ac:dyDescent="0.2">
      <c r="A408" s="93"/>
      <c r="B408" s="120"/>
      <c r="C408" s="120"/>
      <c r="D408" s="118"/>
    </row>
    <row r="409" spans="1:4" x14ac:dyDescent="0.2">
      <c r="A409" s="93"/>
      <c r="B409" s="120"/>
      <c r="C409" s="120"/>
      <c r="D409" s="118"/>
    </row>
    <row r="410" spans="1:4" x14ac:dyDescent="0.2">
      <c r="A410" s="93"/>
      <c r="B410" s="120"/>
      <c r="C410" s="120"/>
      <c r="D410" s="118"/>
    </row>
    <row r="411" spans="1:4" x14ac:dyDescent="0.2">
      <c r="A411" s="93"/>
      <c r="B411" s="120"/>
      <c r="C411" s="120"/>
      <c r="D411" s="118"/>
    </row>
    <row r="412" spans="1:4" x14ac:dyDescent="0.2">
      <c r="A412" s="93"/>
      <c r="B412" s="120"/>
      <c r="C412" s="120"/>
      <c r="D412" s="118"/>
    </row>
    <row r="413" spans="1:4" x14ac:dyDescent="0.2">
      <c r="A413" s="93"/>
      <c r="B413" s="120"/>
      <c r="C413" s="120"/>
      <c r="D413" s="118"/>
    </row>
    <row r="414" spans="1:4" x14ac:dyDescent="0.2">
      <c r="A414" s="93"/>
      <c r="B414" s="120"/>
      <c r="C414" s="120"/>
      <c r="D414" s="118"/>
    </row>
    <row r="415" spans="1:4" x14ac:dyDescent="0.2">
      <c r="A415" s="93"/>
      <c r="B415" s="120"/>
      <c r="C415" s="120"/>
      <c r="D415" s="118"/>
    </row>
    <row r="416" spans="1:4" x14ac:dyDescent="0.2">
      <c r="A416" s="93"/>
      <c r="B416" s="120"/>
      <c r="C416" s="120"/>
      <c r="D416" s="118"/>
    </row>
    <row r="417" spans="1:4" x14ac:dyDescent="0.2">
      <c r="A417" s="93"/>
      <c r="B417" s="120"/>
      <c r="C417" s="120"/>
      <c r="D417" s="118"/>
    </row>
    <row r="418" spans="1:4" x14ac:dyDescent="0.2">
      <c r="A418" s="93"/>
      <c r="B418" s="120"/>
      <c r="C418" s="120"/>
      <c r="D418" s="118"/>
    </row>
    <row r="419" spans="1:4" x14ac:dyDescent="0.2">
      <c r="A419" s="93"/>
      <c r="B419" s="120"/>
      <c r="C419" s="120"/>
      <c r="D419" s="118"/>
    </row>
    <row r="420" spans="1:4" x14ac:dyDescent="0.2">
      <c r="A420" s="93"/>
      <c r="B420" s="120"/>
      <c r="C420" s="120"/>
      <c r="D420" s="118"/>
    </row>
    <row r="421" spans="1:4" x14ac:dyDescent="0.2">
      <c r="A421" s="93"/>
      <c r="B421" s="120"/>
      <c r="C421" s="120"/>
      <c r="D421" s="118"/>
    </row>
    <row r="422" spans="1:4" x14ac:dyDescent="0.2">
      <c r="A422" s="93"/>
      <c r="B422" s="120"/>
      <c r="C422" s="120"/>
      <c r="D422" s="118"/>
    </row>
    <row r="423" spans="1:4" x14ac:dyDescent="0.2">
      <c r="A423" s="93"/>
      <c r="B423" s="120"/>
      <c r="C423" s="120"/>
      <c r="D423" s="118"/>
    </row>
    <row r="424" spans="1:4" x14ac:dyDescent="0.2">
      <c r="A424" s="93"/>
      <c r="B424" s="120"/>
      <c r="C424" s="120"/>
      <c r="D424" s="118"/>
    </row>
    <row r="425" spans="1:4" x14ac:dyDescent="0.2">
      <c r="A425" s="93"/>
      <c r="B425" s="120"/>
      <c r="C425" s="120"/>
      <c r="D425" s="118"/>
    </row>
    <row r="426" spans="1:4" x14ac:dyDescent="0.2">
      <c r="A426" s="93"/>
      <c r="B426" s="120"/>
      <c r="C426" s="120"/>
      <c r="D426" s="118"/>
    </row>
    <row r="427" spans="1:4" x14ac:dyDescent="0.2">
      <c r="A427" s="93"/>
      <c r="B427" s="120"/>
      <c r="C427" s="120"/>
      <c r="D427" s="118"/>
    </row>
    <row r="428" spans="1:4" x14ac:dyDescent="0.2">
      <c r="A428" s="93"/>
      <c r="B428" s="120"/>
      <c r="C428" s="120"/>
      <c r="D428" s="118"/>
    </row>
    <row r="429" spans="1:4" x14ac:dyDescent="0.2">
      <c r="A429" s="93"/>
      <c r="B429" s="120"/>
      <c r="C429" s="120"/>
      <c r="D429" s="118"/>
    </row>
    <row r="430" spans="1:4" x14ac:dyDescent="0.2">
      <c r="A430" s="93"/>
      <c r="B430" s="120"/>
      <c r="C430" s="120"/>
      <c r="D430" s="118"/>
    </row>
    <row r="431" spans="1:4" x14ac:dyDescent="0.2">
      <c r="A431" s="93"/>
      <c r="B431" s="120"/>
      <c r="C431" s="120"/>
      <c r="D431" s="118"/>
    </row>
    <row r="432" spans="1:4" x14ac:dyDescent="0.2">
      <c r="A432" s="93"/>
      <c r="B432" s="120"/>
      <c r="C432" s="120"/>
      <c r="D432" s="118"/>
    </row>
    <row r="433" spans="1:4" x14ac:dyDescent="0.2">
      <c r="A433" s="93"/>
      <c r="B433" s="120"/>
      <c r="C433" s="120"/>
      <c r="D433" s="118"/>
    </row>
    <row r="434" spans="1:4" x14ac:dyDescent="0.2">
      <c r="A434" s="93"/>
      <c r="B434" s="120"/>
      <c r="C434" s="120"/>
      <c r="D434" s="118"/>
    </row>
    <row r="435" spans="1:4" x14ac:dyDescent="0.2">
      <c r="A435" s="93"/>
      <c r="B435" s="120"/>
      <c r="C435" s="120"/>
      <c r="D435" s="118"/>
    </row>
    <row r="436" spans="1:4" x14ac:dyDescent="0.2">
      <c r="A436" s="93"/>
      <c r="B436" s="120"/>
      <c r="C436" s="120"/>
      <c r="D436" s="118"/>
    </row>
    <row r="437" spans="1:4" x14ac:dyDescent="0.2">
      <c r="A437" s="93"/>
      <c r="B437" s="120"/>
      <c r="C437" s="120"/>
      <c r="D437" s="118"/>
    </row>
    <row r="438" spans="1:4" x14ac:dyDescent="0.2">
      <c r="A438" s="93"/>
      <c r="B438" s="120"/>
      <c r="C438" s="120"/>
      <c r="D438" s="118"/>
    </row>
    <row r="439" spans="1:4" x14ac:dyDescent="0.2">
      <c r="A439" s="93"/>
      <c r="B439" s="120"/>
      <c r="C439" s="120"/>
      <c r="D439" s="118"/>
    </row>
    <row r="440" spans="1:4" x14ac:dyDescent="0.2">
      <c r="A440" s="93"/>
      <c r="B440" s="120"/>
      <c r="C440" s="120"/>
      <c r="D440" s="118"/>
    </row>
    <row r="441" spans="1:4" x14ac:dyDescent="0.2">
      <c r="A441" s="93"/>
      <c r="B441" s="120"/>
      <c r="C441" s="120"/>
      <c r="D441" s="118"/>
    </row>
    <row r="442" spans="1:4" x14ac:dyDescent="0.2">
      <c r="A442" s="93"/>
      <c r="B442" s="120"/>
      <c r="C442" s="120"/>
      <c r="D442" s="118"/>
    </row>
    <row r="443" spans="1:4" x14ac:dyDescent="0.2">
      <c r="A443" s="93"/>
      <c r="B443" s="120"/>
      <c r="C443" s="120"/>
      <c r="D443" s="118"/>
    </row>
    <row r="444" spans="1:4" x14ac:dyDescent="0.2">
      <c r="A444" s="93"/>
      <c r="B444" s="120"/>
      <c r="C444" s="120"/>
      <c r="D444" s="118"/>
    </row>
    <row r="445" spans="1:4" x14ac:dyDescent="0.2">
      <c r="A445" s="93"/>
      <c r="B445" s="120"/>
      <c r="C445" s="120"/>
      <c r="D445" s="118"/>
    </row>
    <row r="446" spans="1:4" x14ac:dyDescent="0.2">
      <c r="A446" s="93"/>
      <c r="B446" s="120"/>
      <c r="C446" s="120"/>
      <c r="D446" s="118"/>
    </row>
    <row r="447" spans="1:4" x14ac:dyDescent="0.2">
      <c r="A447" s="93"/>
      <c r="B447" s="120"/>
      <c r="C447" s="120"/>
      <c r="D447" s="118"/>
    </row>
    <row r="448" spans="1:4" x14ac:dyDescent="0.2">
      <c r="A448" s="93"/>
      <c r="B448" s="120"/>
      <c r="C448" s="120"/>
      <c r="D448" s="118"/>
    </row>
    <row r="449" spans="1:4" x14ac:dyDescent="0.2">
      <c r="A449" s="93"/>
      <c r="B449" s="120"/>
      <c r="C449" s="120"/>
      <c r="D449" s="118"/>
    </row>
    <row r="450" spans="1:4" x14ac:dyDescent="0.2">
      <c r="A450" s="93"/>
      <c r="B450" s="120"/>
      <c r="C450" s="120"/>
      <c r="D450" s="118"/>
    </row>
    <row r="451" spans="1:4" x14ac:dyDescent="0.2">
      <c r="A451" s="93"/>
      <c r="B451" s="120"/>
      <c r="C451" s="120"/>
      <c r="D451" s="118"/>
    </row>
    <row r="452" spans="1:4" x14ac:dyDescent="0.2">
      <c r="A452" s="93"/>
      <c r="B452" s="120"/>
      <c r="C452" s="120"/>
      <c r="D452" s="118"/>
    </row>
    <row r="453" spans="1:4" x14ac:dyDescent="0.2">
      <c r="A453" s="93"/>
      <c r="B453" s="120"/>
      <c r="C453" s="120"/>
      <c r="D453" s="118"/>
    </row>
    <row r="454" spans="1:4" x14ac:dyDescent="0.2">
      <c r="A454" s="93"/>
      <c r="B454" s="120"/>
      <c r="C454" s="120"/>
      <c r="D454" s="118"/>
    </row>
    <row r="455" spans="1:4" x14ac:dyDescent="0.2">
      <c r="A455" s="93"/>
      <c r="B455" s="120"/>
      <c r="C455" s="120"/>
      <c r="D455" s="118"/>
    </row>
    <row r="456" spans="1:4" x14ac:dyDescent="0.2">
      <c r="A456" s="93"/>
      <c r="B456" s="120"/>
      <c r="C456" s="120"/>
      <c r="D456" s="118"/>
    </row>
    <row r="457" spans="1:4" x14ac:dyDescent="0.2">
      <c r="A457" s="93"/>
      <c r="B457" s="120"/>
      <c r="C457" s="120"/>
      <c r="D457" s="118"/>
    </row>
    <row r="458" spans="1:4" x14ac:dyDescent="0.2">
      <c r="A458" s="93"/>
      <c r="B458" s="120"/>
      <c r="C458" s="120"/>
      <c r="D458" s="118"/>
    </row>
    <row r="459" spans="1:4" x14ac:dyDescent="0.2">
      <c r="A459" s="93"/>
      <c r="B459" s="120"/>
      <c r="C459" s="120"/>
      <c r="D459" s="118"/>
    </row>
    <row r="460" spans="1:4" x14ac:dyDescent="0.2">
      <c r="A460" s="93"/>
      <c r="B460" s="120"/>
      <c r="C460" s="120"/>
      <c r="D460" s="118"/>
    </row>
    <row r="461" spans="1:4" x14ac:dyDescent="0.2">
      <c r="A461" s="93"/>
      <c r="B461" s="120"/>
      <c r="C461" s="120"/>
      <c r="D461" s="118"/>
    </row>
    <row r="462" spans="1:4" x14ac:dyDescent="0.2">
      <c r="A462" s="93"/>
      <c r="B462" s="120"/>
      <c r="C462" s="120"/>
      <c r="D462" s="118"/>
    </row>
    <row r="463" spans="1:4" x14ac:dyDescent="0.2">
      <c r="A463" s="93"/>
      <c r="B463" s="120"/>
      <c r="C463" s="120"/>
      <c r="D463" s="118"/>
    </row>
    <row r="464" spans="1:4" x14ac:dyDescent="0.2">
      <c r="A464" s="93"/>
      <c r="B464" s="120"/>
      <c r="C464" s="120"/>
      <c r="D464" s="118"/>
    </row>
    <row r="465" spans="1:4" x14ac:dyDescent="0.2">
      <c r="A465" s="93"/>
      <c r="B465" s="120"/>
      <c r="C465" s="120"/>
      <c r="D465" s="118"/>
    </row>
    <row r="466" spans="1:4" x14ac:dyDescent="0.2">
      <c r="A466" s="93"/>
      <c r="B466" s="120"/>
      <c r="C466" s="120"/>
      <c r="D466" s="118"/>
    </row>
    <row r="467" spans="1:4" x14ac:dyDescent="0.2">
      <c r="A467" s="93"/>
      <c r="B467" s="120"/>
      <c r="C467" s="120"/>
      <c r="D467" s="118"/>
    </row>
    <row r="468" spans="1:4" x14ac:dyDescent="0.2">
      <c r="A468" s="93"/>
      <c r="B468" s="120"/>
      <c r="C468" s="120"/>
      <c r="D468" s="118"/>
    </row>
    <row r="469" spans="1:4" x14ac:dyDescent="0.2">
      <c r="A469" s="93"/>
      <c r="B469" s="120"/>
      <c r="C469" s="120"/>
      <c r="D469" s="118"/>
    </row>
    <row r="470" spans="1:4" x14ac:dyDescent="0.2">
      <c r="A470" s="93"/>
      <c r="B470" s="120"/>
      <c r="C470" s="120"/>
      <c r="D470" s="118"/>
    </row>
    <row r="471" spans="1:4" x14ac:dyDescent="0.2">
      <c r="A471" s="93"/>
      <c r="B471" s="120"/>
      <c r="C471" s="120"/>
      <c r="D471" s="118"/>
    </row>
    <row r="472" spans="1:4" x14ac:dyDescent="0.2">
      <c r="A472" s="93"/>
      <c r="B472" s="120"/>
      <c r="C472" s="120"/>
      <c r="D472" s="118"/>
    </row>
    <row r="473" spans="1:4" x14ac:dyDescent="0.2">
      <c r="A473" s="93"/>
      <c r="B473" s="120"/>
      <c r="C473" s="120"/>
      <c r="D473" s="118"/>
    </row>
    <row r="474" spans="1:4" x14ac:dyDescent="0.2">
      <c r="A474" s="93"/>
      <c r="B474" s="120"/>
      <c r="C474" s="120"/>
      <c r="D474" s="118"/>
    </row>
    <row r="475" spans="1:4" x14ac:dyDescent="0.2">
      <c r="A475" s="93"/>
      <c r="B475" s="120"/>
      <c r="C475" s="120"/>
      <c r="D475" s="118"/>
    </row>
    <row r="476" spans="1:4" x14ac:dyDescent="0.2">
      <c r="A476" s="93"/>
      <c r="B476" s="120"/>
      <c r="C476" s="120"/>
      <c r="D476" s="118"/>
    </row>
    <row r="477" spans="1:4" x14ac:dyDescent="0.2">
      <c r="A477" s="93"/>
      <c r="B477" s="120"/>
      <c r="C477" s="120"/>
      <c r="D477" s="118"/>
    </row>
    <row r="478" spans="1:4" x14ac:dyDescent="0.2">
      <c r="A478" s="93"/>
      <c r="B478" s="120"/>
      <c r="C478" s="120"/>
      <c r="D478" s="118"/>
    </row>
    <row r="479" spans="1:4" x14ac:dyDescent="0.2">
      <c r="A479" s="93"/>
      <c r="B479" s="120"/>
      <c r="C479" s="120"/>
      <c r="D479" s="118"/>
    </row>
    <row r="480" spans="1:4" x14ac:dyDescent="0.2">
      <c r="A480" s="93"/>
      <c r="B480" s="120"/>
      <c r="C480" s="120"/>
      <c r="D480" s="118"/>
    </row>
    <row r="481" spans="1:4" x14ac:dyDescent="0.2">
      <c r="A481" s="93"/>
      <c r="B481" s="120"/>
      <c r="C481" s="120"/>
      <c r="D481" s="118"/>
    </row>
    <row r="482" spans="1:4" x14ac:dyDescent="0.2">
      <c r="A482" s="93"/>
      <c r="B482" s="120"/>
      <c r="C482" s="120"/>
      <c r="D482" s="118"/>
    </row>
    <row r="483" spans="1:4" x14ac:dyDescent="0.2">
      <c r="A483" s="93"/>
      <c r="B483" s="120"/>
      <c r="C483" s="120"/>
      <c r="D483" s="118"/>
    </row>
    <row r="484" spans="1:4" x14ac:dyDescent="0.2">
      <c r="A484" s="93"/>
      <c r="B484" s="120"/>
      <c r="C484" s="120"/>
      <c r="D484" s="118"/>
    </row>
    <row r="485" spans="1:4" x14ac:dyDescent="0.2">
      <c r="A485" s="93"/>
      <c r="B485" s="120"/>
      <c r="C485" s="120"/>
      <c r="D485" s="118"/>
    </row>
    <row r="486" spans="1:4" x14ac:dyDescent="0.2">
      <c r="A486" s="93"/>
      <c r="B486" s="120"/>
      <c r="C486" s="120"/>
      <c r="D486" s="118"/>
    </row>
    <row r="487" spans="1:4" x14ac:dyDescent="0.2">
      <c r="A487" s="93"/>
      <c r="B487" s="120"/>
      <c r="C487" s="120"/>
      <c r="D487" s="118"/>
    </row>
    <row r="488" spans="1:4" x14ac:dyDescent="0.2">
      <c r="A488" s="93"/>
      <c r="B488" s="120"/>
      <c r="C488" s="120"/>
      <c r="D488" s="118"/>
    </row>
    <row r="489" spans="1:4" x14ac:dyDescent="0.2">
      <c r="A489" s="93"/>
      <c r="B489" s="120"/>
      <c r="C489" s="120"/>
      <c r="D489" s="118"/>
    </row>
    <row r="490" spans="1:4" x14ac:dyDescent="0.2">
      <c r="A490" s="93"/>
      <c r="B490" s="120"/>
      <c r="C490" s="120"/>
      <c r="D490" s="118"/>
    </row>
    <row r="491" spans="1:4" x14ac:dyDescent="0.2">
      <c r="A491" s="93"/>
      <c r="B491" s="120"/>
      <c r="C491" s="120"/>
      <c r="D491" s="118"/>
    </row>
    <row r="492" spans="1:4" x14ac:dyDescent="0.2">
      <c r="A492" s="93"/>
      <c r="B492" s="120"/>
      <c r="C492" s="120"/>
      <c r="D492" s="118"/>
    </row>
    <row r="493" spans="1:4" x14ac:dyDescent="0.2">
      <c r="A493" s="93"/>
      <c r="B493" s="120"/>
      <c r="C493" s="120"/>
      <c r="D493" s="118"/>
    </row>
    <row r="494" spans="1:4" x14ac:dyDescent="0.2">
      <c r="A494" s="93"/>
      <c r="B494" s="120"/>
      <c r="C494" s="120"/>
      <c r="D494" s="118"/>
    </row>
    <row r="495" spans="1:4" x14ac:dyDescent="0.2">
      <c r="A495" s="93"/>
      <c r="B495" s="120"/>
      <c r="C495" s="120"/>
      <c r="D495" s="118"/>
    </row>
    <row r="496" spans="1:4" x14ac:dyDescent="0.2">
      <c r="A496" s="93"/>
      <c r="B496" s="120"/>
      <c r="C496" s="120"/>
      <c r="D496" s="118"/>
    </row>
    <row r="497" spans="1:4" x14ac:dyDescent="0.2">
      <c r="A497" s="93"/>
      <c r="B497" s="120"/>
      <c r="C497" s="120"/>
      <c r="D497" s="118"/>
    </row>
    <row r="498" spans="1:4" x14ac:dyDescent="0.2">
      <c r="A498" s="93"/>
      <c r="B498" s="120"/>
      <c r="C498" s="120"/>
      <c r="D498" s="118"/>
    </row>
    <row r="499" spans="1:4" x14ac:dyDescent="0.2">
      <c r="A499" s="93"/>
      <c r="B499" s="120"/>
      <c r="C499" s="120"/>
      <c r="D499" s="118"/>
    </row>
    <row r="500" spans="1:4" x14ac:dyDescent="0.2">
      <c r="A500" s="93"/>
      <c r="B500" s="120"/>
      <c r="C500" s="120"/>
      <c r="D500" s="118"/>
    </row>
    <row r="501" spans="1:4" x14ac:dyDescent="0.2">
      <c r="A501" s="93"/>
      <c r="B501" s="120"/>
      <c r="C501" s="120"/>
      <c r="D501" s="118"/>
    </row>
    <row r="502" spans="1:4" x14ac:dyDescent="0.2">
      <c r="A502" s="93"/>
      <c r="B502" s="120"/>
      <c r="C502" s="120"/>
      <c r="D502" s="118"/>
    </row>
    <row r="503" spans="1:4" x14ac:dyDescent="0.2">
      <c r="A503" s="93"/>
      <c r="B503" s="120"/>
      <c r="C503" s="120"/>
      <c r="D503" s="118"/>
    </row>
    <row r="504" spans="1:4" x14ac:dyDescent="0.2">
      <c r="A504" s="93"/>
      <c r="B504" s="120"/>
      <c r="C504" s="120"/>
      <c r="D504" s="118"/>
    </row>
    <row r="505" spans="1:4" x14ac:dyDescent="0.2">
      <c r="A505" s="93"/>
      <c r="B505" s="120"/>
      <c r="C505" s="120"/>
      <c r="D505" s="118"/>
    </row>
    <row r="506" spans="1:4" x14ac:dyDescent="0.2">
      <c r="A506" s="93"/>
      <c r="B506" s="120"/>
      <c r="C506" s="120"/>
      <c r="D506" s="118"/>
    </row>
    <row r="507" spans="1:4" x14ac:dyDescent="0.2">
      <c r="A507" s="93"/>
      <c r="B507" s="120"/>
      <c r="C507" s="120"/>
      <c r="D507" s="118"/>
    </row>
    <row r="508" spans="1:4" x14ac:dyDescent="0.2">
      <c r="A508" s="93"/>
      <c r="B508" s="120"/>
      <c r="C508" s="120"/>
      <c r="D508" s="118"/>
    </row>
    <row r="509" spans="1:4" x14ac:dyDescent="0.2">
      <c r="A509" s="93"/>
      <c r="B509" s="120"/>
      <c r="C509" s="120"/>
      <c r="D509" s="118"/>
    </row>
    <row r="510" spans="1:4" x14ac:dyDescent="0.2">
      <c r="A510" s="93"/>
      <c r="B510" s="120"/>
      <c r="C510" s="120"/>
      <c r="D510" s="118"/>
    </row>
    <row r="511" spans="1:4" x14ac:dyDescent="0.2">
      <c r="A511" s="93"/>
      <c r="B511" s="120"/>
      <c r="C511" s="120"/>
      <c r="D511" s="118"/>
    </row>
    <row r="512" spans="1:4" x14ac:dyDescent="0.2">
      <c r="A512" s="93"/>
      <c r="B512" s="120"/>
      <c r="C512" s="120"/>
      <c r="D512" s="118"/>
    </row>
    <row r="513" spans="1:4" x14ac:dyDescent="0.2">
      <c r="A513" s="93"/>
      <c r="B513" s="120"/>
      <c r="C513" s="120"/>
      <c r="D513" s="118"/>
    </row>
    <row r="514" spans="1:4" x14ac:dyDescent="0.2">
      <c r="A514" s="93"/>
      <c r="B514" s="120"/>
      <c r="C514" s="120"/>
      <c r="D514" s="118"/>
    </row>
    <row r="515" spans="1:4" x14ac:dyDescent="0.2">
      <c r="A515" s="93"/>
      <c r="B515" s="120"/>
      <c r="C515" s="120"/>
      <c r="D515" s="118"/>
    </row>
    <row r="516" spans="1:4" x14ac:dyDescent="0.2">
      <c r="A516" s="93"/>
      <c r="B516" s="120"/>
      <c r="C516" s="120"/>
      <c r="D516" s="118"/>
    </row>
    <row r="517" spans="1:4" x14ac:dyDescent="0.2">
      <c r="A517" s="93"/>
      <c r="B517" s="120"/>
      <c r="C517" s="120"/>
      <c r="D517" s="118"/>
    </row>
    <row r="518" spans="1:4" x14ac:dyDescent="0.2">
      <c r="A518" s="93"/>
      <c r="B518" s="120"/>
      <c r="C518" s="120"/>
      <c r="D518" s="118"/>
    </row>
    <row r="519" spans="1:4" x14ac:dyDescent="0.2">
      <c r="A519" s="93"/>
      <c r="B519" s="120"/>
      <c r="C519" s="120"/>
      <c r="D519" s="118"/>
    </row>
    <row r="520" spans="1:4" x14ac:dyDescent="0.2">
      <c r="A520" s="93"/>
      <c r="B520" s="120"/>
      <c r="C520" s="120"/>
      <c r="D520" s="118"/>
    </row>
    <row r="521" spans="1:4" x14ac:dyDescent="0.2">
      <c r="A521" s="93"/>
      <c r="B521" s="120"/>
      <c r="C521" s="120"/>
      <c r="D521" s="118"/>
    </row>
    <row r="522" spans="1:4" x14ac:dyDescent="0.2">
      <c r="A522" s="93"/>
      <c r="B522" s="120"/>
      <c r="C522" s="120"/>
      <c r="D522" s="118"/>
    </row>
    <row r="523" spans="1:4" x14ac:dyDescent="0.2">
      <c r="A523" s="93"/>
      <c r="B523" s="120"/>
      <c r="C523" s="120"/>
      <c r="D523" s="118"/>
    </row>
    <row r="524" spans="1:4" x14ac:dyDescent="0.2">
      <c r="A524" s="93"/>
      <c r="B524" s="120"/>
      <c r="C524" s="120"/>
      <c r="D524" s="118"/>
    </row>
    <row r="525" spans="1:4" x14ac:dyDescent="0.2">
      <c r="A525" s="93"/>
      <c r="B525" s="120"/>
      <c r="C525" s="120"/>
      <c r="D525" s="118"/>
    </row>
    <row r="526" spans="1:4" x14ac:dyDescent="0.2">
      <c r="A526" s="93"/>
      <c r="B526" s="120"/>
      <c r="C526" s="120"/>
      <c r="D526" s="118"/>
    </row>
    <row r="527" spans="1:4" x14ac:dyDescent="0.2">
      <c r="A527" s="93"/>
      <c r="B527" s="120"/>
      <c r="C527" s="120"/>
      <c r="D527" s="118"/>
    </row>
    <row r="528" spans="1:4" x14ac:dyDescent="0.2">
      <c r="A528" s="93"/>
      <c r="B528" s="120"/>
      <c r="C528" s="120"/>
      <c r="D528" s="118"/>
    </row>
    <row r="529" spans="1:4" x14ac:dyDescent="0.2">
      <c r="A529" s="93"/>
      <c r="B529" s="120"/>
      <c r="C529" s="120"/>
      <c r="D529" s="118"/>
    </row>
    <row r="530" spans="1:4" x14ac:dyDescent="0.2">
      <c r="A530" s="93"/>
      <c r="B530" s="120"/>
      <c r="C530" s="120"/>
      <c r="D530" s="118"/>
    </row>
    <row r="531" spans="1:4" x14ac:dyDescent="0.2">
      <c r="A531" s="93"/>
      <c r="B531" s="120"/>
      <c r="C531" s="120"/>
      <c r="D531" s="118"/>
    </row>
    <row r="532" spans="1:4" x14ac:dyDescent="0.2">
      <c r="A532" s="93"/>
      <c r="B532" s="120"/>
      <c r="C532" s="120"/>
      <c r="D532" s="118"/>
    </row>
    <row r="533" spans="1:4" x14ac:dyDescent="0.2">
      <c r="A533" s="93"/>
      <c r="B533" s="120"/>
      <c r="C533" s="120"/>
      <c r="D533" s="118"/>
    </row>
    <row r="534" spans="1:4" x14ac:dyDescent="0.2">
      <c r="A534" s="93"/>
      <c r="B534" s="120"/>
      <c r="C534" s="120"/>
      <c r="D534" s="118"/>
    </row>
    <row r="535" spans="1:4" x14ac:dyDescent="0.2">
      <c r="A535" s="93"/>
      <c r="B535" s="120"/>
      <c r="C535" s="120"/>
      <c r="D535" s="118"/>
    </row>
    <row r="536" spans="1:4" x14ac:dyDescent="0.2">
      <c r="A536" s="93"/>
      <c r="B536" s="120"/>
      <c r="C536" s="120"/>
      <c r="D536" s="118"/>
    </row>
    <row r="537" spans="1:4" x14ac:dyDescent="0.2">
      <c r="A537" s="93"/>
      <c r="B537" s="120"/>
      <c r="C537" s="120"/>
      <c r="D537" s="118"/>
    </row>
    <row r="538" spans="1:4" x14ac:dyDescent="0.2">
      <c r="A538" s="93"/>
      <c r="B538" s="120"/>
      <c r="C538" s="120"/>
      <c r="D538" s="118"/>
    </row>
    <row r="539" spans="1:4" x14ac:dyDescent="0.2">
      <c r="A539" s="93"/>
      <c r="B539" s="120"/>
      <c r="C539" s="120"/>
      <c r="D539" s="118"/>
    </row>
    <row r="540" spans="1:4" x14ac:dyDescent="0.2">
      <c r="A540" s="93"/>
      <c r="B540" s="120"/>
      <c r="C540" s="120"/>
      <c r="D540" s="118"/>
    </row>
    <row r="541" spans="1:4" x14ac:dyDescent="0.2">
      <c r="A541" s="93"/>
      <c r="B541" s="120"/>
      <c r="C541" s="120"/>
      <c r="D541" s="118"/>
    </row>
    <row r="542" spans="1:4" x14ac:dyDescent="0.2">
      <c r="A542" s="93"/>
      <c r="B542" s="120"/>
      <c r="C542" s="120"/>
      <c r="D542" s="118"/>
    </row>
    <row r="543" spans="1:4" x14ac:dyDescent="0.2">
      <c r="A543" s="93"/>
      <c r="B543" s="120"/>
      <c r="C543" s="120"/>
      <c r="D543" s="118"/>
    </row>
    <row r="544" spans="1:4" x14ac:dyDescent="0.2">
      <c r="A544" s="93"/>
      <c r="B544" s="120"/>
      <c r="C544" s="120"/>
      <c r="D544" s="118"/>
    </row>
    <row r="545" spans="1:4" x14ac:dyDescent="0.2">
      <c r="A545" s="93"/>
      <c r="B545" s="120"/>
      <c r="C545" s="120"/>
      <c r="D545" s="118"/>
    </row>
    <row r="546" spans="1:4" x14ac:dyDescent="0.2">
      <c r="A546" s="93"/>
      <c r="B546" s="120"/>
      <c r="C546" s="120"/>
      <c r="D546" s="118"/>
    </row>
    <row r="547" spans="1:4" x14ac:dyDescent="0.2">
      <c r="A547" s="93"/>
      <c r="B547" s="120"/>
      <c r="C547" s="120"/>
      <c r="D547" s="118"/>
    </row>
    <row r="548" spans="1:4" x14ac:dyDescent="0.2">
      <c r="A548" s="93"/>
      <c r="B548" s="120"/>
      <c r="C548" s="120"/>
      <c r="D548" s="118"/>
    </row>
    <row r="549" spans="1:4" x14ac:dyDescent="0.2">
      <c r="A549" s="93"/>
      <c r="B549" s="120"/>
      <c r="C549" s="120"/>
      <c r="D549" s="118"/>
    </row>
    <row r="550" spans="1:4" x14ac:dyDescent="0.2">
      <c r="A550" s="93"/>
      <c r="B550" s="120"/>
      <c r="C550" s="120"/>
      <c r="D550" s="118"/>
    </row>
    <row r="551" spans="1:4" x14ac:dyDescent="0.2">
      <c r="A551" s="93"/>
      <c r="B551" s="120"/>
      <c r="C551" s="120"/>
      <c r="D551" s="118"/>
    </row>
    <row r="552" spans="1:4" x14ac:dyDescent="0.2">
      <c r="A552" s="93"/>
      <c r="B552" s="120"/>
      <c r="C552" s="120"/>
      <c r="D552" s="118"/>
    </row>
    <row r="553" spans="1:4" x14ac:dyDescent="0.2">
      <c r="A553" s="93"/>
      <c r="B553" s="120"/>
      <c r="C553" s="120"/>
      <c r="D553" s="118"/>
    </row>
    <row r="554" spans="1:4" x14ac:dyDescent="0.2">
      <c r="A554" s="93"/>
      <c r="B554" s="120"/>
      <c r="C554" s="120"/>
      <c r="D554" s="118"/>
    </row>
    <row r="555" spans="1:4" x14ac:dyDescent="0.2">
      <c r="A555" s="93"/>
      <c r="B555" s="120"/>
      <c r="C555" s="120"/>
      <c r="D555" s="118"/>
    </row>
    <row r="556" spans="1:4" x14ac:dyDescent="0.2">
      <c r="A556" s="93"/>
      <c r="B556" s="120"/>
      <c r="C556" s="120"/>
      <c r="D556" s="118"/>
    </row>
    <row r="557" spans="1:4" x14ac:dyDescent="0.2">
      <c r="A557" s="93"/>
      <c r="B557" s="120"/>
      <c r="C557" s="120"/>
      <c r="D557" s="118"/>
    </row>
    <row r="558" spans="1:4" x14ac:dyDescent="0.2">
      <c r="A558" s="93"/>
      <c r="B558" s="120"/>
      <c r="C558" s="120"/>
      <c r="D558" s="118"/>
    </row>
    <row r="559" spans="1:4" x14ac:dyDescent="0.2">
      <c r="A559" s="93"/>
      <c r="B559" s="120"/>
      <c r="C559" s="120"/>
      <c r="D559" s="118"/>
    </row>
  </sheetData>
  <mergeCells count="4">
    <mergeCell ref="I24:L24"/>
    <mergeCell ref="N24:Q24"/>
    <mergeCell ref="J25:M25"/>
    <mergeCell ref="O25:R2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Model</vt:lpstr>
      <vt:lpstr>Sensitivity Analysis </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2016-04-30T16:19:10Z</cp:lastPrinted>
  <dcterms:created xsi:type="dcterms:W3CDTF">2016-03-27T14:10:15Z</dcterms:created>
  <dcterms:modified xsi:type="dcterms:W3CDTF">2017-01-19T21:44:51Z</dcterms:modified>
</cp:coreProperties>
</file>